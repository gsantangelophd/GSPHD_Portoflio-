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599\Desktop\META\"/>
    </mc:Choice>
  </mc:AlternateContent>
  <xr:revisionPtr revIDLastSave="0" documentId="13_ncr:1_{E7E7E70B-A14E-446C-AA9F-4F43CDCC0CB7}" xr6:coauthVersionLast="47" xr6:coauthVersionMax="47" xr10:uidLastSave="{00000000-0000-0000-0000-000000000000}"/>
  <bookViews>
    <workbookView xWindow="-120" yWindow="-120" windowWidth="28110" windowHeight="16440" xr2:uid="{6836AA11-7BD3-4A50-85F5-001D63182E3D}"/>
  </bookViews>
  <sheets>
    <sheet name="Sheet1" sheetId="1" r:id="rId1"/>
  </sheets>
  <definedNames>
    <definedName name="a">Sheet1!$F$411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B16" i="1"/>
  <c r="B13" i="1"/>
  <c r="B14" i="1"/>
  <c r="B20" i="1"/>
  <c r="E20" i="1" s="1" a="1"/>
  <c r="E20" i="1" s="1"/>
  <c r="B30" i="1"/>
  <c r="B32" i="1"/>
  <c r="B31" i="1"/>
  <c r="E31" i="1" s="1"/>
  <c r="B29" i="1"/>
  <c r="B28" i="1"/>
  <c r="B26" i="1"/>
  <c r="B25" i="1"/>
  <c r="B24" i="1"/>
  <c r="E24" i="1" s="1"/>
  <c r="B22" i="1"/>
  <c r="B21" i="1"/>
  <c r="C33" i="1"/>
  <c r="B15" i="1"/>
  <c r="B17" i="1" l="1"/>
  <c r="D33" i="1"/>
  <c r="D30" i="1"/>
  <c r="D27" i="1"/>
  <c r="D23" i="1"/>
  <c r="D19" i="1"/>
  <c r="B33" i="1"/>
  <c r="E33" i="1" s="1"/>
  <c r="E30" i="1"/>
  <c r="B27" i="1"/>
  <c r="E27" i="1" s="1"/>
  <c r="E26" i="1"/>
  <c r="B23" i="1"/>
  <c r="B19" i="1"/>
  <c r="E19" i="1" s="1"/>
  <c r="C30" i="1"/>
  <c r="C27" i="1"/>
  <c r="C23" i="1"/>
  <c r="C19" i="1"/>
  <c r="E32" i="1"/>
  <c r="E29" i="1"/>
  <c r="E28" i="1"/>
  <c r="E21" i="1"/>
  <c r="E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<sst xmlns="http://schemas.openxmlformats.org/spreadsheetml/2006/main" count="47" uniqueCount="45">
  <si>
    <t>Block Design</t>
  </si>
  <si>
    <t>Similarities</t>
  </si>
  <si>
    <t>Digit Span</t>
  </si>
  <si>
    <t>Matrix Reasoning</t>
  </si>
  <si>
    <t>Arithmetic</t>
  </si>
  <si>
    <t>Symbol Search</t>
  </si>
  <si>
    <t xml:space="preserve">Visual Puzzles </t>
  </si>
  <si>
    <t>Information</t>
  </si>
  <si>
    <t>Coding</t>
  </si>
  <si>
    <t>Vocabulary</t>
  </si>
  <si>
    <t>WAIS-IV</t>
  </si>
  <si>
    <t>DATE</t>
  </si>
  <si>
    <t>FSIQ</t>
  </si>
  <si>
    <t>VCI</t>
  </si>
  <si>
    <t>95% Confidence Interval</t>
  </si>
  <si>
    <t>Description</t>
  </si>
  <si>
    <t>Verbal Comprehension Index (VCI)</t>
  </si>
  <si>
    <t>Perceptual Reasoning Index (PRI)</t>
  </si>
  <si>
    <t>Working Memory Index (WMI)</t>
  </si>
  <si>
    <t>Processing Speed Index (PSI)</t>
  </si>
  <si>
    <t>Full Scale (FSIQ)</t>
  </si>
  <si>
    <t xml:space="preserve">                                  Coding</t>
  </si>
  <si>
    <t xml:space="preserve">                                   Mathematics</t>
  </si>
  <si>
    <t xml:space="preserve">                                     Digit Span</t>
  </si>
  <si>
    <t xml:space="preserve">                                             Visual Puzzles</t>
  </si>
  <si>
    <t xml:space="preserve">                                          Matrix Reasoning</t>
  </si>
  <si>
    <t xml:space="preserve">                                           Block Design</t>
  </si>
  <si>
    <t xml:space="preserve">                                       Symbol Search</t>
  </si>
  <si>
    <t xml:space="preserve">                                            Information</t>
  </si>
  <si>
    <t xml:space="preserve">                                           Vocabulary</t>
  </si>
  <si>
    <t xml:space="preserve">                                          Similarities</t>
  </si>
  <si>
    <t>Percentile 
Rank</t>
  </si>
  <si>
    <t>Composite /
Scaled Score</t>
  </si>
  <si>
    <t>PRI</t>
  </si>
  <si>
    <t>WMI</t>
  </si>
  <si>
    <t>PSI</t>
  </si>
  <si>
    <t>95% CON INTER</t>
  </si>
  <si>
    <t>AGE</t>
  </si>
  <si>
    <t>1.10.2024</t>
  </si>
  <si>
    <t>SCALED SCORE</t>
  </si>
  <si>
    <t>raw score</t>
  </si>
  <si>
    <t>% RANK</t>
  </si>
  <si>
    <t>subtest</t>
  </si>
  <si>
    <t>index</t>
  </si>
  <si>
    <t>STANDARD 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</si>
</sst>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1" fillId="2" borderId="0" xfId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5" borderId="0" xfId="0" applyFont="1" applyFill="1"/>
    <xf numFmtId="14" fontId="2" fillId="5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right"/>
    </xf>
    <xf numFmtId="0" fontId="0" fillId="0" borderId="13" xfId="0" applyBorder="1" applyAlignment="1">
      <alignment horizontal="center"/>
    </xf>
    <xf numFmtId="0" fontId="2" fillId="0" borderId="14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4" xfId="0" applyBorder="1"/>
    <xf numFmtId="0" fontId="2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78B6-F051-4C8C-89A8-E652AA105689}">
  <dimension ref="A1:DIC1259"/>
  <sheetViews>
    <sheetView tabSelected="1" workbookViewId="0">
      <selection activeCell="G17" sqref="G17"/>
    </sheetView>
  </sheetViews>
  <sheetFormatPr defaultRowHeight="15" x14ac:dyDescent="0.25"/>
  <cols>
    <col min="1" max="1" width="39.28515625" customWidth="1"/>
    <col min="2" max="2" width="14.28515625" customWidth="1"/>
    <col min="3" max="3" width="18" style="3" customWidth="1"/>
    <col min="4" max="4" width="15.28515625" customWidth="1"/>
    <col min="5" max="5" width="17.42578125" customWidth="1"/>
    <col min="6" max="7" width="12" customWidth="1"/>
    <col min="8" max="8" width="10.85546875" style="1" customWidth="1"/>
    <col min="9" max="9" width="15.28515625" customWidth="1"/>
    <col min="10" max="10" width="11.5703125" customWidth="1"/>
    <col min="11" max="11" width="12" customWidth="1"/>
    <col min="12" max="12" width="10.85546875" style="1" customWidth="1"/>
    <col min="13" max="13" width="15.28515625" customWidth="1"/>
    <col min="14" max="14" width="11.5703125" customWidth="1"/>
    <col min="15" max="15" width="12" customWidth="1"/>
    <col min="16" max="16" width="10.85546875" style="1" customWidth="1"/>
    <col min="17" max="17" width="15.28515625" customWidth="1"/>
    <col min="18" max="18" width="11.5703125" customWidth="1"/>
    <col min="19" max="19" width="12" customWidth="1"/>
    <col min="20" max="20" width="10.85546875" style="1" customWidth="1"/>
    <col min="21" max="21" width="15.28515625" customWidth="1"/>
    <col min="22" max="22" width="11.5703125" customWidth="1"/>
    <col min="23" max="23" width="12" customWidth="1"/>
  </cols>
  <sheetData>
    <row r="1" spans="1:20" x14ac:dyDescent="0.25">
      <c r="A1" s="31" t="s">
        <v>42</v>
      </c>
      <c r="B1" s="29" t="s">
        <v>40</v>
      </c>
      <c r="C1" s="30" t="s">
        <v>39</v>
      </c>
      <c r="D1" s="2" t="s">
        <v>10</v>
      </c>
      <c r="H1"/>
      <c r="L1"/>
      <c r="P1"/>
      <c r="T1"/>
    </row>
    <row r="2" spans="1:20" x14ac:dyDescent="0.25">
      <c r="A2" s="20" t="s">
        <v>0</v>
      </c>
      <c r="B2" s="23">
        <v>10</v>
      </c>
      <c r="D2" s="33" t="s">
        <v>11</v>
      </c>
      <c r="E2" s="19" t="s">
        <v>38</v>
      </c>
      <c r="H2"/>
      <c r="L2"/>
      <c r="P2"/>
      <c r="T2"/>
    </row>
    <row r="3" spans="1:20" x14ac:dyDescent="0.25">
      <c r="A3" s="20" t="s">
        <v>1</v>
      </c>
      <c r="B3" s="23">
        <v>10</v>
      </c>
      <c r="D3" s="33" t="s">
        <v>37</v>
      </c>
      <c r="E3" s="18">
        <v>18.899999999999999</v>
      </c>
      <c r="H3"/>
      <c r="L3"/>
      <c r="P3"/>
      <c r="T3"/>
    </row>
    <row r="4" spans="1:20" x14ac:dyDescent="0.25">
      <c r="A4" s="20" t="s">
        <v>2</v>
      </c>
      <c r="B4" s="23">
        <v>10</v>
      </c>
      <c r="H4"/>
      <c r="L4"/>
      <c r="P4"/>
      <c r="T4"/>
    </row>
    <row r="5" spans="1:20" x14ac:dyDescent="0.25">
      <c r="A5" s="20" t="s">
        <v>3</v>
      </c>
      <c r="B5" s="23">
        <v>10</v>
      </c>
      <c r="H5"/>
      <c r="L5"/>
      <c r="P5"/>
      <c r="T5"/>
    </row>
    <row r="6" spans="1:20" x14ac:dyDescent="0.25">
      <c r="A6" s="20" t="s">
        <v>9</v>
      </c>
      <c r="B6" s="23">
        <v>10</v>
      </c>
      <c r="H6"/>
      <c r="L6"/>
      <c r="P6"/>
      <c r="T6"/>
    </row>
    <row r="7" spans="1:20" x14ac:dyDescent="0.25">
      <c r="A7" s="20" t="s">
        <v>4</v>
      </c>
      <c r="B7" s="23">
        <v>10</v>
      </c>
      <c r="H7"/>
      <c r="L7"/>
      <c r="P7"/>
      <c r="T7"/>
    </row>
    <row r="8" spans="1:20" x14ac:dyDescent="0.25">
      <c r="A8" s="20" t="s">
        <v>5</v>
      </c>
      <c r="B8" s="23">
        <v>10</v>
      </c>
      <c r="H8"/>
      <c r="L8"/>
      <c r="P8"/>
      <c r="T8"/>
    </row>
    <row r="9" spans="1:20" x14ac:dyDescent="0.25">
      <c r="A9" s="20" t="s">
        <v>6</v>
      </c>
      <c r="B9" s="23">
        <v>10</v>
      </c>
      <c r="H9"/>
      <c r="L9"/>
      <c r="P9"/>
      <c r="T9"/>
    </row>
    <row r="10" spans="1:20" x14ac:dyDescent="0.25">
      <c r="A10" s="20" t="s">
        <v>7</v>
      </c>
      <c r="B10" s="23">
        <v>10</v>
      </c>
      <c r="H10"/>
      <c r="L10"/>
      <c r="P10"/>
      <c r="T10"/>
    </row>
    <row r="11" spans="1:20" ht="15.75" thickBot="1" x14ac:dyDescent="0.3">
      <c r="A11" s="24" t="s">
        <v>8</v>
      </c>
      <c r="B11" s="25">
        <v>10</v>
      </c>
      <c r="C11" s="34"/>
      <c r="D11" s="26"/>
      <c r="E11" s="26"/>
      <c r="H11"/>
      <c r="L11"/>
      <c r="P11"/>
      <c r="T11"/>
    </row>
    <row r="12" spans="1:20" ht="15.75" thickTop="1" x14ac:dyDescent="0.25">
      <c r="A12" s="32" t="s">
        <v>43</v>
      </c>
      <c r="B12" s="27" t="s">
        <v>40</v>
      </c>
      <c r="C12" s="28" t="s">
        <v>44</v>
      </c>
      <c r="D12" s="28" t="s">
        <v>41</v>
      </c>
      <c r="E12" s="28" t="s">
        <v>36</v>
      </c>
      <c r="H12"/>
      <c r="L12"/>
      <c r="P12"/>
      <c r="T12"/>
    </row>
    <row r="13" spans="1:20" x14ac:dyDescent="0.25">
      <c r="A13" s="20" t="s">
        <v>13</v>
      </c>
      <c r="B13" s="23">
        <f>SUM(B3,B6,B10)</f>
        <v>30</v>
      </c>
      <c r="C13" s="3">
        <v>60</v>
      </c>
      <c r="F13" s="21"/>
      <c r="H13"/>
      <c r="L13"/>
      <c r="P13"/>
      <c r="T13"/>
    </row>
    <row r="14" spans="1:20" x14ac:dyDescent="0.25">
      <c r="A14" s="20" t="s">
        <v>33</v>
      </c>
      <c r="B14" s="23">
        <f>SUM(B2,B5,B9)</f>
        <v>30</v>
      </c>
      <c r="C14" s="3">
        <v>130</v>
      </c>
      <c r="H14"/>
      <c r="L14"/>
      <c r="P14"/>
      <c r="T14"/>
    </row>
    <row r="15" spans="1:20" x14ac:dyDescent="0.25">
      <c r="A15" s="20" t="s">
        <v>34</v>
      </c>
      <c r="B15" s="23">
        <f>SUM(B4,B7)</f>
        <v>20</v>
      </c>
      <c r="H15"/>
      <c r="L15"/>
      <c r="P15"/>
      <c r="T15"/>
    </row>
    <row r="16" spans="1:20" x14ac:dyDescent="0.25">
      <c r="A16" s="20" t="s">
        <v>35</v>
      </c>
      <c r="B16" s="23">
        <f>SUM(B8,B11)</f>
        <v>20</v>
      </c>
      <c r="H16"/>
      <c r="L16"/>
      <c r="P16"/>
      <c r="T16"/>
    </row>
    <row r="17" spans="1:2941" ht="15.75" thickBot="1" x14ac:dyDescent="0.3">
      <c r="A17" s="22" t="s">
        <v>12</v>
      </c>
      <c r="B17" s="23">
        <f>SUM(B13:B16)</f>
        <v>100</v>
      </c>
      <c r="H17"/>
      <c r="L17"/>
      <c r="P17"/>
      <c r="T17"/>
    </row>
    <row r="18" spans="1:2941" ht="43.5" thickBot="1" x14ac:dyDescent="0.3">
      <c r="A18" s="6" t="s">
        <v>10</v>
      </c>
      <c r="B18" s="14" t="s">
        <v>32</v>
      </c>
      <c r="C18" s="14" t="s">
        <v>31</v>
      </c>
      <c r="D18" s="14" t="s">
        <v>14</v>
      </c>
      <c r="E18" s="15" t="s">
        <v>15</v>
      </c>
      <c r="H18"/>
      <c r="L18"/>
      <c r="P18"/>
      <c r="T18"/>
    </row>
    <row r="19" spans="1:2941" x14ac:dyDescent="0.25">
      <c r="A19" s="11" t="s">
        <v>16</v>
      </c>
      <c r="B19" s="12">
        <f>C13</f>
        <v>60</v>
      </c>
      <c r="C19" s="13">
        <f>D13</f>
        <v>0</v>
      </c>
      <c r="D19" s="13">
        <f>E13</f>
        <v>0</v>
      </c>
      <c r="E19" s="35" t="str">
        <f>IF(B19&lt;70, "Extremely Low", IF(AND(B19&gt;=70, B19&lt;=79), "Borderline", IF(AND(B19&gt;=80, B19&lt;=89), "Low Average", IF(AND(B19&gt;=90, B19&lt;=109), "Average", IF(AND(B19&gt;=110, B19&lt;=119), "High Average", IF(AND(B19&gt;=120, B19&lt;=129), "Superior", IF(B19&gt;=130, "Very Superior", "")))))))</f>
        <v>Extremely Low</v>
      </c>
      <c r="H19"/>
      <c r="L19"/>
      <c r="P19"/>
      <c r="T19"/>
    </row>
    <row r="20" spans="1:2941" x14ac:dyDescent="0.25">
      <c r="A20" s="5" t="s">
        <v>30</v>
      </c>
      <c r="B20" s="7">
        <f>C3</f>
        <v>0</v>
      </c>
      <c r="C20" s="4"/>
      <c r="D20" s="4"/>
      <c r="E20" s="4" t="str" cm="1">
        <f t="array" ref="E20">IF(B20&lt;=F406, "Extremely Low", IF(B20&lt;=5, "Borderline", IF(B20&lt;=7, "Low Average", IF(B20&lt;=11, "Average", D22IF(B20&lt;=13, "High Average", IF(B20&lt;=15, "Superior", IF(B20&gt;=16, "Very Superior", "")))))))</f>
        <v>Extremely Low</v>
      </c>
      <c r="H20"/>
      <c r="L20"/>
      <c r="P20"/>
      <c r="T20"/>
    </row>
    <row r="21" spans="1:2941" x14ac:dyDescent="0.25">
      <c r="A21" s="5" t="s">
        <v>29</v>
      </c>
      <c r="B21" s="7">
        <f>C6</f>
        <v>0</v>
      </c>
      <c r="C21" s="4"/>
      <c r="D21" s="4"/>
      <c r="E21" s="4" t="str">
        <f>IF(B21&lt;=F407, "Extremely Low", IF(B21&lt;=5, "Borderline", IF(B21&lt;=7, "Low Average", IF(B21&lt;=11, "Average", IF(B21&lt;=13, "High Average", IF(B21&lt;=15, "Superior", IF(B21&gt;=16, "Very Superior", "")))))))</f>
        <v>Extremely Low</v>
      </c>
      <c r="H21"/>
      <c r="L21"/>
      <c r="P21"/>
      <c r="T21"/>
    </row>
    <row r="22" spans="1:2941" x14ac:dyDescent="0.25">
      <c r="A22" s="5" t="s">
        <v>28</v>
      </c>
      <c r="B22" s="7">
        <f>C10</f>
        <v>0</v>
      </c>
      <c r="C22" s="4"/>
      <c r="D22" s="4"/>
      <c r="E22" s="4" t="str">
        <f>IF(B22&lt;=F408, "Extremely Low", IF(B22&lt;=5, "Borderline", IF(B22&lt;=7, "Low Average", IF(B22&lt;=11, "Average", IF(B22&lt;=13, "High Average", IF(B22&lt;=15, "Superior", IF(B22&gt;=16, "Very Superior", "")))))))</f>
        <v>Extremely Low</v>
      </c>
      <c r="H22"/>
      <c r="L22"/>
      <c r="P22"/>
      <c r="T22"/>
    </row>
    <row r="23" spans="1:2941" x14ac:dyDescent="0.25">
      <c r="A23" s="11" t="s">
        <v>17</v>
      </c>
      <c r="B23" s="12">
        <f>C14</f>
        <v>130</v>
      </c>
      <c r="C23" s="13">
        <f>D14</f>
        <v>0</v>
      </c>
      <c r="D23" s="13">
        <f>E14</f>
        <v>0</v>
      </c>
      <c r="E23" s="36" t="str">
        <f>IF(B23&lt;70, "Extremely Low", IF(AND(B23&gt;=70, B23&lt;=79), "Borderline", IF(AND(B23&gt;=80, B23&lt;=89), "Low Average", IF(AND(B23&gt;=90, B23&lt;=109), "Average", IF(AND(B23&gt;=110, B23&lt;=119), "High Average", IF(AND(B23&gt;=120, B23&lt;=129), "Superior", IF(B23&gt;=130, "Very Superior", "")))))))</f>
        <v>Very Superior</v>
      </c>
      <c r="H23"/>
      <c r="L23"/>
      <c r="P23"/>
      <c r="T23"/>
    </row>
    <row r="24" spans="1:2941" x14ac:dyDescent="0.25">
      <c r="A24" s="5" t="s">
        <v>26</v>
      </c>
      <c r="B24" s="7">
        <f>C2</f>
        <v>0</v>
      </c>
      <c r="C24" s="4"/>
      <c r="D24" s="4"/>
      <c r="E24" s="4" t="str">
        <f>IF(B24&lt;=F410, "Extremely Low", IF(B24&lt;=5, "Borderline", IF(B24&lt;=7, "Low Average", IF(B24&lt;=11, "Average", IF(B24&lt;=13, "High Average", IF(B24&lt;=15, "Superior", IF(B24&gt;=16, "Very Superior", "")))))))</f>
        <v>Extremely Low</v>
      </c>
      <c r="H24"/>
      <c r="L24"/>
      <c r="P24"/>
      <c r="T24"/>
    </row>
    <row r="25" spans="1:2941" x14ac:dyDescent="0.25">
      <c r="A25" s="5" t="s">
        <v>25</v>
      </c>
      <c r="B25" s="7">
        <f>C5</f>
        <v>0</v>
      </c>
      <c r="C25" s="4"/>
      <c r="D25" s="4"/>
      <c r="E25" s="4" t="str">
        <f>IF(B25&lt;=F411, "Extremely Low", IF(B25&lt;=5, "Borderline", IF(B25&lt;=7, "Low Average", IF(B25&lt;=11, "Average", IF(B25&lt;=13, "High Average", IF(B25&lt;=15, "Superior", IF(B25&gt;=16, "Very Superior", "")))))))</f>
        <v>Extremely Low</v>
      </c>
      <c r="H25"/>
      <c r="L25"/>
      <c r="P25"/>
      <c r="T25"/>
    </row>
    <row r="26" spans="1:2941" x14ac:dyDescent="0.25">
      <c r="A26" s="5" t="s">
        <v>24</v>
      </c>
      <c r="B26" s="7">
        <f>C9</f>
        <v>0</v>
      </c>
      <c r="C26" s="4"/>
      <c r="D26" s="4"/>
      <c r="E26" s="4" t="str">
        <f>IF(B26&lt;=F412, "Extremely Low", IF(B26&lt;=5, "Borderline", IF(B26&lt;=7, "Low Average", IF(B26&lt;=11, "Average", IF(B26&lt;=13, "High Average", IF(B26&lt;=15, "Superior", IF(B26&gt;=16, "Very Superior", "")))))))</f>
        <v>Extremely Low</v>
      </c>
      <c r="H26"/>
      <c r="L26"/>
      <c r="P26"/>
      <c r="T26"/>
    </row>
    <row r="27" spans="1:2941" ht="15.75" thickBot="1" x14ac:dyDescent="0.3">
      <c r="A27" s="11" t="s">
        <v>18</v>
      </c>
      <c r="B27" s="12">
        <f>C15</f>
        <v>0</v>
      </c>
      <c r="C27" s="13">
        <f>D15</f>
        <v>0</v>
      </c>
      <c r="D27" s="13">
        <f>E15</f>
        <v>0</v>
      </c>
      <c r="E27" s="36" t="str">
        <f>IF(B27&lt;70, "Extremely Low", IF(AND(B27&gt;=70, B27&lt;=79), "Borderline", IF(AND(B27&gt;=80, B27&lt;=89), "Low Average", IF(AND(B27&gt;=90, B27&lt;=109), "Average", IF(AND(B27&gt;=110, B27&lt;=119), "High Average", IF(AND(B27&gt;=120, B27&lt;=129), "Superior", IF(B27&gt;=130, "Very Superior", "")))))))</f>
        <v>Extremely Low</v>
      </c>
      <c r="H27"/>
      <c r="L27"/>
      <c r="P27"/>
      <c r="T27"/>
    </row>
    <row r="28" spans="1:2941" s="16" customFormat="1" x14ac:dyDescent="0.25">
      <c r="A28" s="5" t="s">
        <v>23</v>
      </c>
      <c r="B28" s="7">
        <f>C4</f>
        <v>0</v>
      </c>
      <c r="C28" s="4"/>
      <c r="D28" s="4"/>
      <c r="E28" s="4" t="str">
        <f>IF(B28&lt;=F414, "Extremely Low", IF(B28&lt;=5, "Borderline", IF(B28&lt;=7, "Low Average", IF(B28&lt;=11, "Average", IF(B28&lt;=13, "High Average", IF(B28&lt;=15, "Superior", IF(B28&gt;=16, "Very Superior", "")))))))</f>
        <v>Extremely Low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</row>
    <row r="29" spans="1:2941" s="17" customFormat="1" ht="15.75" thickBot="1" x14ac:dyDescent="0.3">
      <c r="A29" s="5" t="s">
        <v>22</v>
      </c>
      <c r="B29" s="7">
        <f>C7</f>
        <v>0</v>
      </c>
      <c r="C29" s="4"/>
      <c r="D29" s="4"/>
      <c r="E29" s="4" t="str">
        <f>IF(B29&lt;=F415, "Extremely Low", IF(B29&lt;=5, "Borderline", IF(B29&lt;=7, "Low Average", IF(B29&lt;=11, "Average", IF(B29&lt;=13, "High Average", IF(B29&lt;=15, "Superior", IF(B29&gt;=16, "Very Superior", "")))))))</f>
        <v>Extremely Low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</row>
    <row r="30" spans="1:2941" x14ac:dyDescent="0.25">
      <c r="A30" s="11" t="s">
        <v>19</v>
      </c>
      <c r="B30" s="12">
        <f>C16</f>
        <v>0</v>
      </c>
      <c r="C30" s="13">
        <f>D16</f>
        <v>0</v>
      </c>
      <c r="D30" s="13">
        <f>E16</f>
        <v>0</v>
      </c>
      <c r="E30" s="36" t="str">
        <f>IF(B30&lt;70, "Extremely Low", IF(AND(B30&gt;=70, B30&lt;=79), "Borderline", IF(AND(B30&gt;=80, B30&lt;=89), "Low Average", IF(AND(B30&gt;=90, B30&lt;=109), "Average", IF(AND(B30&gt;=110, B30&lt;=119), "High Average", IF(AND(B30&gt;=120, B30&lt;=129), "Superior", IF(B30&gt;=130, "Very Superior", "")))))))</f>
        <v>Extremely Low</v>
      </c>
      <c r="H30"/>
      <c r="L30"/>
      <c r="P30"/>
      <c r="T30"/>
    </row>
    <row r="31" spans="1:2941" x14ac:dyDescent="0.25">
      <c r="A31" s="5" t="s">
        <v>27</v>
      </c>
      <c r="B31" s="7">
        <f>C8</f>
        <v>0</v>
      </c>
      <c r="C31" s="4"/>
      <c r="D31" s="4"/>
      <c r="E31" s="4" t="str">
        <f>IF(B31&lt;=F417, "Extremely Low", IF(B31&lt;=5, "Borderline", IF(B31&lt;=7, "Low Average", IF(B31&lt;=11, "Average", IF(B31&lt;=13, "High Average", IF(B31&lt;=15, "Superior", IF(B31&gt;=16, "Very Superior", "")))))))</f>
        <v>Extremely Low</v>
      </c>
      <c r="H31"/>
      <c r="L31"/>
      <c r="P31"/>
      <c r="T31"/>
    </row>
    <row r="32" spans="1:2941" x14ac:dyDescent="0.25">
      <c r="A32" s="5" t="s">
        <v>21</v>
      </c>
      <c r="B32" s="7">
        <f>C11</f>
        <v>0</v>
      </c>
      <c r="C32" s="4"/>
      <c r="D32" s="4"/>
      <c r="E32" s="4" t="str">
        <f>IF(B32&lt;=F418, "Extremely Low", IF(B32&lt;=5, "Borderline", IF(B32&lt;=7, "Low Average", IF(B32&lt;=11, "Average", IF(B32&lt;=13, "High Average", IF(B32&lt;=15, "Superior", IF(B32&gt;=16, "Very Superior", "")))))))</f>
        <v>Extremely Low</v>
      </c>
      <c r="H32"/>
      <c r="L32"/>
      <c r="P32"/>
      <c r="T32"/>
    </row>
    <row r="33" spans="1:20" ht="15.75" thickBot="1" x14ac:dyDescent="0.3">
      <c r="A33" s="8" t="s">
        <v>20</v>
      </c>
      <c r="B33" s="9">
        <f>C17</f>
        <v>0</v>
      </c>
      <c r="C33" s="10">
        <f>D17</f>
        <v>0</v>
      </c>
      <c r="D33" s="10">
        <f>E17</f>
        <v>0</v>
      </c>
      <c r="E33" s="37" t="str">
        <f>IF(B33&lt;70, "Extremely Low", IF(AND(B33&gt;=70, B33&lt;=79), "Borderline", IF(AND(B33&gt;=80, B33&lt;=89), "Low Average", IF(AND(B33&gt;=90, B33&lt;=109), "Average", IF(AND(B33&gt;=110, B33&lt;=119), "High Average", IF(AND(B33&gt;=120, B33&lt;=129), "Superior", IF(B33&gt;=130, "Very Superior", "")))))))</f>
        <v>Extremely Low</v>
      </c>
      <c r="H33"/>
      <c r="L33"/>
      <c r="P33"/>
      <c r="T33"/>
    </row>
    <row r="34" spans="1:20" x14ac:dyDescent="0.25">
      <c r="H34"/>
      <c r="L34"/>
      <c r="P34"/>
      <c r="T34"/>
    </row>
    <row r="35" spans="1:20" x14ac:dyDescent="0.25">
      <c r="H35"/>
      <c r="L35"/>
      <c r="P35"/>
      <c r="T35"/>
    </row>
    <row r="36" spans="1:20" x14ac:dyDescent="0.25">
      <c r="H36"/>
      <c r="L36"/>
      <c r="P36"/>
      <c r="T36"/>
    </row>
    <row r="37" spans="1:20" x14ac:dyDescent="0.25">
      <c r="H37"/>
      <c r="L37"/>
      <c r="P37"/>
      <c r="T37"/>
    </row>
    <row r="38" spans="1:20" x14ac:dyDescent="0.25">
      <c r="H38"/>
      <c r="L38"/>
      <c r="P38"/>
      <c r="T38"/>
    </row>
    <row r="39" spans="1:20" x14ac:dyDescent="0.25">
      <c r="H39"/>
      <c r="L39"/>
      <c r="P39"/>
      <c r="T39"/>
    </row>
    <row r="40" spans="1:20" x14ac:dyDescent="0.25">
      <c r="H40"/>
      <c r="L40"/>
      <c r="P40"/>
      <c r="T40"/>
    </row>
    <row r="41" spans="1:20" x14ac:dyDescent="0.25">
      <c r="H41"/>
      <c r="L41"/>
      <c r="P41"/>
      <c r="T41"/>
    </row>
    <row r="42" spans="1:20" x14ac:dyDescent="0.25">
      <c r="H42"/>
      <c r="L42"/>
      <c r="P42"/>
      <c r="T42"/>
    </row>
    <row r="43" spans="1:20" x14ac:dyDescent="0.25">
      <c r="H43"/>
      <c r="L43"/>
      <c r="P43"/>
      <c r="T43"/>
    </row>
    <row r="44" spans="1:20" x14ac:dyDescent="0.25">
      <c r="H44"/>
      <c r="L44"/>
      <c r="P44"/>
      <c r="T44"/>
    </row>
    <row r="45" spans="1:20" x14ac:dyDescent="0.25">
      <c r="H45"/>
      <c r="L45"/>
      <c r="P45"/>
      <c r="T45"/>
    </row>
    <row r="46" spans="1:20" x14ac:dyDescent="0.25">
      <c r="H46"/>
      <c r="L46"/>
      <c r="P46"/>
      <c r="T46"/>
    </row>
    <row r="47" spans="1:20" x14ac:dyDescent="0.25">
      <c r="H47"/>
      <c r="L47"/>
      <c r="P47"/>
      <c r="T47"/>
    </row>
    <row r="48" spans="1:20" x14ac:dyDescent="0.25">
      <c r="H48"/>
      <c r="L48"/>
      <c r="P48"/>
      <c r="T48"/>
    </row>
    <row r="49" spans="8:20" x14ac:dyDescent="0.25">
      <c r="H49"/>
      <c r="L49"/>
      <c r="P49"/>
      <c r="T49"/>
    </row>
    <row r="50" spans="8:20" x14ac:dyDescent="0.25">
      <c r="H50"/>
      <c r="L50"/>
      <c r="P50"/>
      <c r="T50"/>
    </row>
    <row r="51" spans="8:20" x14ac:dyDescent="0.25">
      <c r="H51"/>
      <c r="L51"/>
      <c r="P51"/>
      <c r="T51"/>
    </row>
    <row r="52" spans="8:20" x14ac:dyDescent="0.25">
      <c r="H52"/>
      <c r="L52"/>
      <c r="P52"/>
      <c r="T52"/>
    </row>
    <row r="53" spans="8:20" x14ac:dyDescent="0.25">
      <c r="H53"/>
      <c r="L53"/>
      <c r="P53"/>
      <c r="T53"/>
    </row>
    <row r="54" spans="8:20" x14ac:dyDescent="0.25">
      <c r="H54"/>
      <c r="L54"/>
      <c r="P54"/>
      <c r="T54"/>
    </row>
    <row r="55" spans="8:20" x14ac:dyDescent="0.25">
      <c r="H55"/>
      <c r="L55"/>
      <c r="P55"/>
      <c r="T55"/>
    </row>
    <row r="56" spans="8:20" x14ac:dyDescent="0.25">
      <c r="H56"/>
      <c r="L56"/>
      <c r="P56"/>
      <c r="T56"/>
    </row>
    <row r="57" spans="8:20" x14ac:dyDescent="0.25">
      <c r="H57"/>
      <c r="L57"/>
      <c r="P57"/>
      <c r="T57"/>
    </row>
    <row r="58" spans="8:20" x14ac:dyDescent="0.25">
      <c r="H58"/>
      <c r="L58"/>
      <c r="P58"/>
      <c r="T58"/>
    </row>
    <row r="59" spans="8:20" x14ac:dyDescent="0.25">
      <c r="H59"/>
      <c r="L59"/>
      <c r="P59"/>
      <c r="T59"/>
    </row>
    <row r="60" spans="8:20" x14ac:dyDescent="0.25">
      <c r="H60"/>
      <c r="L60"/>
      <c r="P60"/>
      <c r="T60"/>
    </row>
    <row r="61" spans="8:20" x14ac:dyDescent="0.25">
      <c r="H61"/>
      <c r="L61"/>
      <c r="P61"/>
      <c r="T61"/>
    </row>
    <row r="62" spans="8:20" x14ac:dyDescent="0.25">
      <c r="H62"/>
      <c r="L62"/>
      <c r="P62"/>
      <c r="T62"/>
    </row>
    <row r="63" spans="8:20" x14ac:dyDescent="0.25">
      <c r="H63"/>
      <c r="L63"/>
      <c r="P63"/>
      <c r="T63"/>
    </row>
    <row r="64" spans="8:20" x14ac:dyDescent="0.25">
      <c r="H64"/>
      <c r="L64"/>
      <c r="P64"/>
      <c r="T64"/>
    </row>
    <row r="65" spans="8:20" x14ac:dyDescent="0.25">
      <c r="H65"/>
      <c r="L65"/>
      <c r="P65"/>
      <c r="T65"/>
    </row>
    <row r="66" spans="8:20" x14ac:dyDescent="0.25">
      <c r="H66"/>
      <c r="L66"/>
      <c r="P66"/>
      <c r="T66"/>
    </row>
    <row r="67" spans="8:20" x14ac:dyDescent="0.25">
      <c r="H67"/>
      <c r="L67"/>
      <c r="P67"/>
      <c r="T67"/>
    </row>
    <row r="68" spans="8:20" x14ac:dyDescent="0.25">
      <c r="H68"/>
      <c r="L68"/>
      <c r="P68"/>
      <c r="T68"/>
    </row>
    <row r="69" spans="8:20" x14ac:dyDescent="0.25">
      <c r="H69"/>
      <c r="L69"/>
      <c r="P69"/>
      <c r="T69"/>
    </row>
    <row r="70" spans="8:20" x14ac:dyDescent="0.25">
      <c r="H70"/>
      <c r="L70"/>
      <c r="P70"/>
      <c r="T70"/>
    </row>
    <row r="71" spans="8:20" x14ac:dyDescent="0.25">
      <c r="H71"/>
      <c r="L71"/>
      <c r="P71"/>
      <c r="T71"/>
    </row>
    <row r="72" spans="8:20" x14ac:dyDescent="0.25">
      <c r="H72"/>
      <c r="L72"/>
      <c r="P72"/>
      <c r="T72"/>
    </row>
    <row r="73" spans="8:20" x14ac:dyDescent="0.25">
      <c r="H73"/>
      <c r="L73"/>
      <c r="P73"/>
      <c r="T73"/>
    </row>
    <row r="74" spans="8:20" x14ac:dyDescent="0.25">
      <c r="H74"/>
      <c r="L74"/>
      <c r="P74"/>
      <c r="T74"/>
    </row>
    <row r="75" spans="8:20" x14ac:dyDescent="0.25">
      <c r="H75"/>
      <c r="L75"/>
      <c r="P75"/>
      <c r="T75"/>
    </row>
    <row r="76" spans="8:20" x14ac:dyDescent="0.25">
      <c r="H76"/>
      <c r="L76"/>
      <c r="P76"/>
      <c r="T76"/>
    </row>
    <row r="77" spans="8:20" x14ac:dyDescent="0.25">
      <c r="H77"/>
      <c r="L77"/>
      <c r="P77"/>
      <c r="T77"/>
    </row>
    <row r="78" spans="8:20" x14ac:dyDescent="0.25">
      <c r="H78"/>
      <c r="L78"/>
      <c r="P78"/>
      <c r="T78"/>
    </row>
    <row r="79" spans="8:20" x14ac:dyDescent="0.25">
      <c r="H79"/>
      <c r="L79"/>
      <c r="P79"/>
      <c r="T79"/>
    </row>
    <row r="80" spans="8:20" x14ac:dyDescent="0.25">
      <c r="H80"/>
      <c r="L80"/>
      <c r="P80"/>
      <c r="T80"/>
    </row>
    <row r="81" spans="8:20" x14ac:dyDescent="0.25">
      <c r="H81"/>
      <c r="L81"/>
      <c r="P81"/>
      <c r="T81"/>
    </row>
    <row r="82" spans="8:20" x14ac:dyDescent="0.25">
      <c r="H82"/>
      <c r="L82"/>
      <c r="P82"/>
      <c r="T82"/>
    </row>
    <row r="83" spans="8:20" x14ac:dyDescent="0.25">
      <c r="H83"/>
      <c r="L83"/>
      <c r="P83"/>
      <c r="T83"/>
    </row>
    <row r="84" spans="8:20" x14ac:dyDescent="0.25">
      <c r="H84"/>
      <c r="L84"/>
      <c r="P84"/>
      <c r="T84"/>
    </row>
    <row r="85" spans="8:20" x14ac:dyDescent="0.25">
      <c r="H85"/>
      <c r="L85"/>
      <c r="P85"/>
      <c r="T85"/>
    </row>
    <row r="86" spans="8:20" x14ac:dyDescent="0.25">
      <c r="H86"/>
      <c r="L86"/>
      <c r="P86"/>
      <c r="T86"/>
    </row>
    <row r="87" spans="8:20" x14ac:dyDescent="0.25">
      <c r="H87"/>
      <c r="L87"/>
      <c r="P87"/>
      <c r="T87"/>
    </row>
    <row r="88" spans="8:20" x14ac:dyDescent="0.25">
      <c r="H88"/>
      <c r="L88"/>
      <c r="P88"/>
      <c r="T88"/>
    </row>
    <row r="89" spans="8:20" x14ac:dyDescent="0.25">
      <c r="H89"/>
      <c r="L89"/>
      <c r="P89"/>
      <c r="T89"/>
    </row>
    <row r="90" spans="8:20" x14ac:dyDescent="0.25">
      <c r="H90"/>
      <c r="L90"/>
      <c r="P90"/>
      <c r="T90"/>
    </row>
    <row r="91" spans="8:20" x14ac:dyDescent="0.25">
      <c r="H91"/>
      <c r="L91"/>
      <c r="P91"/>
      <c r="T91"/>
    </row>
    <row r="92" spans="8:20" x14ac:dyDescent="0.25">
      <c r="H92"/>
      <c r="L92"/>
      <c r="P92"/>
      <c r="T92"/>
    </row>
    <row r="93" spans="8:20" x14ac:dyDescent="0.25">
      <c r="H93"/>
      <c r="L93"/>
      <c r="P93"/>
      <c r="T93"/>
    </row>
    <row r="94" spans="8:20" x14ac:dyDescent="0.25">
      <c r="H94"/>
      <c r="L94"/>
      <c r="P94"/>
      <c r="T94"/>
    </row>
    <row r="95" spans="8:20" x14ac:dyDescent="0.25">
      <c r="H95"/>
      <c r="L95"/>
      <c r="P95"/>
      <c r="T95"/>
    </row>
    <row r="96" spans="8:20" x14ac:dyDescent="0.25">
      <c r="H96"/>
      <c r="L96"/>
      <c r="P96"/>
      <c r="T96"/>
    </row>
    <row r="97" spans="8:20" x14ac:dyDescent="0.25">
      <c r="H97"/>
      <c r="L97"/>
      <c r="P97"/>
      <c r="T97"/>
    </row>
    <row r="98" spans="8:20" x14ac:dyDescent="0.25">
      <c r="H98"/>
      <c r="L98"/>
      <c r="P98"/>
      <c r="T98"/>
    </row>
    <row r="99" spans="8:20" x14ac:dyDescent="0.25">
      <c r="H99"/>
      <c r="L99"/>
      <c r="P99"/>
      <c r="T99"/>
    </row>
    <row r="100" spans="8:20" x14ac:dyDescent="0.25">
      <c r="H100"/>
      <c r="L100"/>
      <c r="P100"/>
      <c r="T100"/>
    </row>
    <row r="101" spans="8:20" x14ac:dyDescent="0.25">
      <c r="H101"/>
      <c r="L101"/>
      <c r="P101"/>
      <c r="T101"/>
    </row>
    <row r="102" spans="8:20" x14ac:dyDescent="0.25">
      <c r="H102"/>
      <c r="L102"/>
      <c r="P102"/>
      <c r="T102"/>
    </row>
    <row r="103" spans="8:20" x14ac:dyDescent="0.25">
      <c r="H103"/>
      <c r="L103"/>
      <c r="P103"/>
      <c r="T103"/>
    </row>
    <row r="104" spans="8:20" x14ac:dyDescent="0.25">
      <c r="H104"/>
      <c r="L104"/>
      <c r="P104"/>
      <c r="T104"/>
    </row>
    <row r="105" spans="8:20" x14ac:dyDescent="0.25">
      <c r="H105"/>
      <c r="L105"/>
      <c r="P105"/>
      <c r="T105"/>
    </row>
    <row r="106" spans="8:20" x14ac:dyDescent="0.25">
      <c r="H106"/>
      <c r="L106"/>
      <c r="P106"/>
      <c r="T106"/>
    </row>
    <row r="107" spans="8:20" x14ac:dyDescent="0.25">
      <c r="H107"/>
      <c r="L107"/>
      <c r="P107"/>
      <c r="T107"/>
    </row>
    <row r="108" spans="8:20" x14ac:dyDescent="0.25">
      <c r="H108"/>
      <c r="L108"/>
      <c r="P108"/>
      <c r="T108"/>
    </row>
    <row r="109" spans="8:20" x14ac:dyDescent="0.25">
      <c r="H109"/>
      <c r="L109"/>
      <c r="P109"/>
      <c r="T109"/>
    </row>
    <row r="110" spans="8:20" x14ac:dyDescent="0.25">
      <c r="H110"/>
      <c r="L110"/>
      <c r="P110"/>
      <c r="T110"/>
    </row>
    <row r="111" spans="8:20" x14ac:dyDescent="0.25">
      <c r="H111"/>
      <c r="L111"/>
      <c r="P111"/>
      <c r="T111"/>
    </row>
    <row r="112" spans="8:20" x14ac:dyDescent="0.25">
      <c r="H112"/>
      <c r="L112"/>
      <c r="P112"/>
      <c r="T112"/>
    </row>
    <row r="113" spans="8:20" x14ac:dyDescent="0.25">
      <c r="H113"/>
      <c r="L113"/>
      <c r="P113"/>
      <c r="T113"/>
    </row>
    <row r="114" spans="8:20" x14ac:dyDescent="0.25">
      <c r="H114"/>
      <c r="L114"/>
      <c r="P114"/>
      <c r="T114"/>
    </row>
    <row r="115" spans="8:20" x14ac:dyDescent="0.25">
      <c r="H115"/>
      <c r="L115"/>
      <c r="P115"/>
      <c r="T115"/>
    </row>
    <row r="116" spans="8:20" x14ac:dyDescent="0.25">
      <c r="H116"/>
      <c r="L116"/>
      <c r="P116"/>
      <c r="T116"/>
    </row>
    <row r="117" spans="8:20" x14ac:dyDescent="0.25">
      <c r="H117"/>
      <c r="L117"/>
      <c r="P117"/>
      <c r="T117"/>
    </row>
    <row r="118" spans="8:20" x14ac:dyDescent="0.25">
      <c r="H118"/>
      <c r="L118"/>
      <c r="P118"/>
      <c r="T118"/>
    </row>
    <row r="119" spans="8:20" x14ac:dyDescent="0.25">
      <c r="H119"/>
      <c r="L119"/>
      <c r="P119"/>
      <c r="T119"/>
    </row>
    <row r="120" spans="8:20" x14ac:dyDescent="0.25">
      <c r="H120"/>
      <c r="L120"/>
      <c r="P120"/>
      <c r="T120"/>
    </row>
    <row r="121" spans="8:20" x14ac:dyDescent="0.25">
      <c r="H121"/>
      <c r="L121"/>
      <c r="P121"/>
      <c r="T121"/>
    </row>
    <row r="122" spans="8:20" x14ac:dyDescent="0.25">
      <c r="H122"/>
      <c r="L122"/>
      <c r="P122"/>
      <c r="T122"/>
    </row>
    <row r="123" spans="8:20" x14ac:dyDescent="0.25">
      <c r="H123"/>
      <c r="L123"/>
      <c r="P123"/>
      <c r="T123"/>
    </row>
    <row r="124" spans="8:20" x14ac:dyDescent="0.25">
      <c r="H124"/>
      <c r="L124"/>
      <c r="P124"/>
      <c r="T124"/>
    </row>
    <row r="125" spans="8:20" x14ac:dyDescent="0.25">
      <c r="H125"/>
      <c r="L125"/>
      <c r="P125"/>
      <c r="T125"/>
    </row>
    <row r="126" spans="8:20" x14ac:dyDescent="0.25">
      <c r="H126"/>
      <c r="L126"/>
      <c r="P126"/>
      <c r="T126"/>
    </row>
    <row r="127" spans="8:20" x14ac:dyDescent="0.25">
      <c r="H127"/>
      <c r="L127"/>
      <c r="P127"/>
      <c r="T127"/>
    </row>
    <row r="128" spans="8:20" x14ac:dyDescent="0.25">
      <c r="H128"/>
      <c r="L128"/>
      <c r="P128"/>
      <c r="T128"/>
    </row>
    <row r="129" spans="8:20" x14ac:dyDescent="0.25">
      <c r="H129"/>
      <c r="L129"/>
      <c r="P129"/>
      <c r="T129"/>
    </row>
    <row r="130" spans="8:20" x14ac:dyDescent="0.25">
      <c r="H130"/>
      <c r="L130"/>
      <c r="P130"/>
      <c r="T130"/>
    </row>
    <row r="131" spans="8:20" x14ac:dyDescent="0.25">
      <c r="H131"/>
      <c r="L131"/>
      <c r="P131"/>
      <c r="T131"/>
    </row>
    <row r="132" spans="8:20" x14ac:dyDescent="0.25">
      <c r="H132"/>
      <c r="L132"/>
      <c r="P132"/>
      <c r="T132"/>
    </row>
    <row r="133" spans="8:20" x14ac:dyDescent="0.25">
      <c r="H133"/>
      <c r="L133"/>
      <c r="P133"/>
      <c r="T133"/>
    </row>
    <row r="134" spans="8:20" x14ac:dyDescent="0.25">
      <c r="H134"/>
      <c r="L134"/>
      <c r="P134"/>
      <c r="T134"/>
    </row>
    <row r="135" spans="8:20" x14ac:dyDescent="0.25">
      <c r="H135"/>
      <c r="L135"/>
      <c r="P135"/>
      <c r="T135"/>
    </row>
    <row r="136" spans="8:20" x14ac:dyDescent="0.25">
      <c r="H136"/>
      <c r="L136"/>
      <c r="P136"/>
      <c r="T136"/>
    </row>
    <row r="137" spans="8:20" x14ac:dyDescent="0.25">
      <c r="H137"/>
      <c r="L137"/>
      <c r="P137"/>
      <c r="T137"/>
    </row>
    <row r="138" spans="8:20" x14ac:dyDescent="0.25">
      <c r="H138"/>
      <c r="L138"/>
      <c r="P138"/>
      <c r="T138"/>
    </row>
    <row r="139" spans="8:20" x14ac:dyDescent="0.25">
      <c r="H139"/>
      <c r="L139"/>
      <c r="P139"/>
      <c r="T139"/>
    </row>
    <row r="140" spans="8:20" x14ac:dyDescent="0.25">
      <c r="H140"/>
      <c r="L140"/>
      <c r="P140"/>
      <c r="T140"/>
    </row>
    <row r="141" spans="8:20" x14ac:dyDescent="0.25">
      <c r="H141"/>
      <c r="L141"/>
      <c r="P141"/>
      <c r="T141"/>
    </row>
    <row r="142" spans="8:20" x14ac:dyDescent="0.25">
      <c r="H142"/>
      <c r="L142"/>
      <c r="P142"/>
      <c r="T142"/>
    </row>
    <row r="143" spans="8:20" x14ac:dyDescent="0.25">
      <c r="H143"/>
      <c r="L143"/>
      <c r="P143"/>
      <c r="T143"/>
    </row>
    <row r="144" spans="8:20" x14ac:dyDescent="0.25">
      <c r="H144"/>
      <c r="L144"/>
      <c r="P144"/>
      <c r="T144"/>
    </row>
    <row r="145" spans="8:20" x14ac:dyDescent="0.25">
      <c r="H145"/>
      <c r="L145"/>
      <c r="P145"/>
      <c r="T145"/>
    </row>
    <row r="146" spans="8:20" x14ac:dyDescent="0.25">
      <c r="H146"/>
      <c r="L146"/>
      <c r="P146"/>
      <c r="T146"/>
    </row>
    <row r="147" spans="8:20" x14ac:dyDescent="0.25">
      <c r="H147"/>
      <c r="L147"/>
      <c r="P147"/>
      <c r="T147"/>
    </row>
    <row r="148" spans="8:20" x14ac:dyDescent="0.25">
      <c r="H148"/>
      <c r="L148"/>
      <c r="P148"/>
      <c r="T148"/>
    </row>
    <row r="149" spans="8:20" x14ac:dyDescent="0.25">
      <c r="H149"/>
      <c r="L149"/>
      <c r="P149"/>
      <c r="T149"/>
    </row>
    <row r="150" spans="8:20" x14ac:dyDescent="0.25">
      <c r="H150"/>
      <c r="L150"/>
      <c r="P150"/>
      <c r="T150"/>
    </row>
    <row r="151" spans="8:20" x14ac:dyDescent="0.25">
      <c r="H151"/>
      <c r="L151"/>
      <c r="P151"/>
      <c r="T151"/>
    </row>
    <row r="152" spans="8:20" x14ac:dyDescent="0.25">
      <c r="H152"/>
      <c r="L152"/>
      <c r="P152"/>
      <c r="T152"/>
    </row>
    <row r="153" spans="8:20" x14ac:dyDescent="0.25">
      <c r="H153"/>
      <c r="L153"/>
      <c r="P153"/>
      <c r="T153"/>
    </row>
    <row r="154" spans="8:20" x14ac:dyDescent="0.25">
      <c r="H154"/>
      <c r="L154"/>
      <c r="P154"/>
      <c r="T154"/>
    </row>
    <row r="155" spans="8:20" x14ac:dyDescent="0.25">
      <c r="H155"/>
      <c r="L155"/>
      <c r="P155"/>
      <c r="T155"/>
    </row>
    <row r="156" spans="8:20" x14ac:dyDescent="0.25">
      <c r="H156"/>
      <c r="L156"/>
      <c r="P156"/>
      <c r="T156"/>
    </row>
    <row r="157" spans="8:20" x14ac:dyDescent="0.25">
      <c r="H157"/>
      <c r="L157"/>
      <c r="P157"/>
      <c r="T157"/>
    </row>
    <row r="158" spans="8:20" x14ac:dyDescent="0.25">
      <c r="H158"/>
      <c r="L158"/>
      <c r="P158"/>
      <c r="T158"/>
    </row>
    <row r="159" spans="8:20" x14ac:dyDescent="0.25">
      <c r="H159"/>
      <c r="L159"/>
      <c r="P159"/>
      <c r="T159"/>
    </row>
    <row r="160" spans="8:20" x14ac:dyDescent="0.25">
      <c r="H160"/>
      <c r="L160"/>
      <c r="P160"/>
      <c r="T160"/>
    </row>
    <row r="161" spans="8:20" x14ac:dyDescent="0.25">
      <c r="H161"/>
      <c r="L161"/>
      <c r="P161"/>
      <c r="T161"/>
    </row>
    <row r="162" spans="8:20" x14ac:dyDescent="0.25">
      <c r="H162"/>
      <c r="L162"/>
      <c r="P162"/>
      <c r="T162"/>
    </row>
    <row r="163" spans="8:20" x14ac:dyDescent="0.25">
      <c r="H163"/>
      <c r="L163"/>
      <c r="P163"/>
      <c r="T163"/>
    </row>
    <row r="164" spans="8:20" x14ac:dyDescent="0.25">
      <c r="H164"/>
      <c r="L164"/>
      <c r="P164"/>
      <c r="T164"/>
    </row>
    <row r="165" spans="8:20" x14ac:dyDescent="0.25">
      <c r="H165"/>
      <c r="L165"/>
      <c r="P165"/>
      <c r="T165"/>
    </row>
    <row r="166" spans="8:20" x14ac:dyDescent="0.25">
      <c r="H166"/>
      <c r="L166"/>
      <c r="P166"/>
      <c r="T166"/>
    </row>
    <row r="167" spans="8:20" x14ac:dyDescent="0.25">
      <c r="H167"/>
      <c r="L167"/>
      <c r="P167"/>
      <c r="T167"/>
    </row>
    <row r="168" spans="8:20" x14ac:dyDescent="0.25">
      <c r="H168"/>
      <c r="L168"/>
      <c r="P168"/>
      <c r="T168"/>
    </row>
    <row r="169" spans="8:20" x14ac:dyDescent="0.25">
      <c r="H169"/>
      <c r="L169"/>
      <c r="P169"/>
      <c r="T169"/>
    </row>
    <row r="170" spans="8:20" x14ac:dyDescent="0.25">
      <c r="H170"/>
      <c r="L170"/>
      <c r="P170"/>
      <c r="T170"/>
    </row>
    <row r="171" spans="8:20" x14ac:dyDescent="0.25">
      <c r="H171"/>
      <c r="L171"/>
      <c r="P171"/>
      <c r="T171"/>
    </row>
    <row r="172" spans="8:20" x14ac:dyDescent="0.25">
      <c r="H172"/>
      <c r="L172"/>
      <c r="P172"/>
      <c r="T172"/>
    </row>
    <row r="173" spans="8:20" x14ac:dyDescent="0.25">
      <c r="H173"/>
      <c r="L173"/>
      <c r="P173"/>
      <c r="T173"/>
    </row>
    <row r="174" spans="8:20" x14ac:dyDescent="0.25">
      <c r="H174"/>
      <c r="L174"/>
      <c r="P174"/>
      <c r="T174"/>
    </row>
    <row r="175" spans="8:20" x14ac:dyDescent="0.25">
      <c r="H175"/>
      <c r="L175"/>
      <c r="P175"/>
      <c r="T175"/>
    </row>
    <row r="176" spans="8:20" x14ac:dyDescent="0.25">
      <c r="H176"/>
      <c r="L176"/>
      <c r="P176"/>
      <c r="T176"/>
    </row>
    <row r="177" spans="8:20" x14ac:dyDescent="0.25">
      <c r="H177"/>
      <c r="L177"/>
      <c r="P177"/>
      <c r="T177"/>
    </row>
    <row r="178" spans="8:20" x14ac:dyDescent="0.25">
      <c r="H178"/>
      <c r="L178"/>
      <c r="P178"/>
      <c r="T178"/>
    </row>
    <row r="179" spans="8:20" x14ac:dyDescent="0.25">
      <c r="H179"/>
      <c r="L179"/>
      <c r="P179"/>
      <c r="T179"/>
    </row>
    <row r="180" spans="8:20" x14ac:dyDescent="0.25">
      <c r="H180"/>
      <c r="L180"/>
      <c r="P180"/>
      <c r="T180"/>
    </row>
    <row r="181" spans="8:20" x14ac:dyDescent="0.25">
      <c r="H181"/>
      <c r="L181"/>
      <c r="P181"/>
      <c r="T181"/>
    </row>
    <row r="182" spans="8:20" x14ac:dyDescent="0.25">
      <c r="H182"/>
      <c r="L182"/>
      <c r="P182"/>
      <c r="T182"/>
    </row>
    <row r="183" spans="8:20" x14ac:dyDescent="0.25">
      <c r="H183"/>
      <c r="L183"/>
      <c r="P183"/>
      <c r="T183"/>
    </row>
    <row r="184" spans="8:20" x14ac:dyDescent="0.25">
      <c r="H184"/>
      <c r="L184"/>
      <c r="P184"/>
      <c r="T184"/>
    </row>
    <row r="185" spans="8:20" x14ac:dyDescent="0.25">
      <c r="H185"/>
      <c r="L185"/>
      <c r="P185"/>
      <c r="T185"/>
    </row>
    <row r="186" spans="8:20" x14ac:dyDescent="0.25">
      <c r="H186"/>
      <c r="L186"/>
      <c r="P186"/>
      <c r="T186"/>
    </row>
    <row r="187" spans="8:20" x14ac:dyDescent="0.25">
      <c r="H187"/>
      <c r="L187"/>
      <c r="P187"/>
      <c r="T187"/>
    </row>
    <row r="188" spans="8:20" x14ac:dyDescent="0.25">
      <c r="H188"/>
      <c r="L188"/>
      <c r="P188"/>
      <c r="T188"/>
    </row>
    <row r="189" spans="8:20" x14ac:dyDescent="0.25">
      <c r="H189"/>
      <c r="L189"/>
      <c r="P189"/>
      <c r="T189"/>
    </row>
    <row r="190" spans="8:20" x14ac:dyDescent="0.25">
      <c r="H190"/>
      <c r="L190"/>
      <c r="P190"/>
      <c r="T190"/>
    </row>
    <row r="191" spans="8:20" x14ac:dyDescent="0.25">
      <c r="H191"/>
      <c r="L191"/>
      <c r="P191"/>
      <c r="T191"/>
    </row>
    <row r="192" spans="8:20" x14ac:dyDescent="0.25">
      <c r="H192"/>
      <c r="L192"/>
      <c r="P192"/>
      <c r="T192"/>
    </row>
    <row r="193" spans="8:20" x14ac:dyDescent="0.25">
      <c r="H193"/>
      <c r="L193"/>
      <c r="P193"/>
      <c r="T193"/>
    </row>
    <row r="194" spans="8:20" x14ac:dyDescent="0.25">
      <c r="H194"/>
      <c r="L194"/>
      <c r="P194"/>
      <c r="T194"/>
    </row>
    <row r="195" spans="8:20" x14ac:dyDescent="0.25">
      <c r="H195"/>
      <c r="L195"/>
      <c r="P195"/>
      <c r="T195"/>
    </row>
    <row r="196" spans="8:20" x14ac:dyDescent="0.25">
      <c r="H196"/>
      <c r="L196"/>
      <c r="P196"/>
      <c r="T196"/>
    </row>
    <row r="197" spans="8:20" x14ac:dyDescent="0.25">
      <c r="H197"/>
      <c r="L197"/>
      <c r="P197"/>
      <c r="T197"/>
    </row>
    <row r="198" spans="8:20" x14ac:dyDescent="0.25">
      <c r="H198"/>
      <c r="L198"/>
      <c r="P198"/>
      <c r="T198"/>
    </row>
    <row r="199" spans="8:20" x14ac:dyDescent="0.25">
      <c r="H199"/>
      <c r="L199"/>
      <c r="P199"/>
      <c r="T199"/>
    </row>
    <row r="200" spans="8:20" x14ac:dyDescent="0.25">
      <c r="H200"/>
      <c r="L200"/>
      <c r="P200"/>
      <c r="T200"/>
    </row>
    <row r="201" spans="8:20" x14ac:dyDescent="0.25">
      <c r="H201"/>
      <c r="L201"/>
      <c r="P201"/>
      <c r="T201"/>
    </row>
    <row r="202" spans="8:20" x14ac:dyDescent="0.25">
      <c r="H202"/>
      <c r="L202"/>
      <c r="P202"/>
      <c r="T202"/>
    </row>
    <row r="203" spans="8:20" x14ac:dyDescent="0.25">
      <c r="H203"/>
      <c r="L203"/>
      <c r="P203"/>
      <c r="T203"/>
    </row>
    <row r="204" spans="8:20" x14ac:dyDescent="0.25">
      <c r="H204"/>
      <c r="L204"/>
      <c r="P204"/>
      <c r="T204"/>
    </row>
    <row r="205" spans="8:20" x14ac:dyDescent="0.25">
      <c r="H205"/>
      <c r="L205"/>
      <c r="P205"/>
      <c r="T205"/>
    </row>
    <row r="206" spans="8:20" x14ac:dyDescent="0.25">
      <c r="H206"/>
      <c r="L206"/>
      <c r="P206"/>
      <c r="T206"/>
    </row>
    <row r="207" spans="8:20" x14ac:dyDescent="0.25">
      <c r="H207"/>
      <c r="L207"/>
      <c r="P207"/>
      <c r="T207"/>
    </row>
    <row r="208" spans="8:20" x14ac:dyDescent="0.25">
      <c r="H208"/>
      <c r="L208"/>
      <c r="P208"/>
      <c r="T208"/>
    </row>
    <row r="209" spans="8:20" x14ac:dyDescent="0.25">
      <c r="H209"/>
      <c r="L209"/>
      <c r="P209"/>
      <c r="T209"/>
    </row>
    <row r="210" spans="8:20" x14ac:dyDescent="0.25">
      <c r="H210"/>
      <c r="L210"/>
      <c r="P210"/>
      <c r="T210"/>
    </row>
    <row r="211" spans="8:20" x14ac:dyDescent="0.25">
      <c r="H211"/>
      <c r="L211"/>
      <c r="P211"/>
      <c r="T211"/>
    </row>
    <row r="212" spans="8:20" x14ac:dyDescent="0.25">
      <c r="H212"/>
      <c r="L212"/>
      <c r="P212"/>
      <c r="T212"/>
    </row>
    <row r="213" spans="8:20" x14ac:dyDescent="0.25">
      <c r="H213"/>
      <c r="L213"/>
      <c r="P213"/>
      <c r="T213"/>
    </row>
    <row r="214" spans="8:20" x14ac:dyDescent="0.25">
      <c r="H214"/>
      <c r="L214"/>
      <c r="P214"/>
      <c r="T214"/>
    </row>
    <row r="215" spans="8:20" x14ac:dyDescent="0.25">
      <c r="H215"/>
      <c r="L215"/>
      <c r="P215"/>
      <c r="T215"/>
    </row>
    <row r="216" spans="8:20" x14ac:dyDescent="0.25">
      <c r="H216"/>
      <c r="L216"/>
      <c r="P216"/>
      <c r="T216"/>
    </row>
    <row r="217" spans="8:20" x14ac:dyDescent="0.25">
      <c r="H217"/>
      <c r="L217"/>
      <c r="P217"/>
      <c r="T217"/>
    </row>
    <row r="218" spans="8:20" x14ac:dyDescent="0.25">
      <c r="H218"/>
      <c r="L218"/>
      <c r="P218"/>
      <c r="T218"/>
    </row>
    <row r="219" spans="8:20" x14ac:dyDescent="0.25">
      <c r="H219"/>
      <c r="L219"/>
      <c r="P219"/>
      <c r="T219"/>
    </row>
    <row r="220" spans="8:20" x14ac:dyDescent="0.25">
      <c r="H220"/>
      <c r="L220"/>
      <c r="P220"/>
      <c r="T220"/>
    </row>
    <row r="221" spans="8:20" x14ac:dyDescent="0.25">
      <c r="H221"/>
      <c r="L221"/>
      <c r="P221"/>
      <c r="T221"/>
    </row>
    <row r="222" spans="8:20" x14ac:dyDescent="0.25">
      <c r="H222"/>
      <c r="L222"/>
      <c r="P222"/>
      <c r="T222"/>
    </row>
    <row r="223" spans="8:20" x14ac:dyDescent="0.25">
      <c r="H223"/>
      <c r="L223"/>
      <c r="P223"/>
      <c r="T223"/>
    </row>
    <row r="224" spans="8:20" x14ac:dyDescent="0.25">
      <c r="H224"/>
      <c r="L224"/>
      <c r="P224"/>
      <c r="T224"/>
    </row>
    <row r="225" spans="8:20" x14ac:dyDescent="0.25">
      <c r="H225"/>
      <c r="L225"/>
      <c r="P225"/>
      <c r="T225"/>
    </row>
    <row r="226" spans="8:20" x14ac:dyDescent="0.25">
      <c r="H226"/>
      <c r="L226"/>
      <c r="P226"/>
      <c r="T226"/>
    </row>
    <row r="227" spans="8:20" x14ac:dyDescent="0.25">
      <c r="H227"/>
      <c r="L227"/>
      <c r="P227"/>
      <c r="T227"/>
    </row>
    <row r="228" spans="8:20" x14ac:dyDescent="0.25">
      <c r="H228"/>
      <c r="L228"/>
      <c r="P228"/>
      <c r="T228"/>
    </row>
    <row r="229" spans="8:20" x14ac:dyDescent="0.25">
      <c r="H229"/>
      <c r="L229"/>
      <c r="P229"/>
      <c r="T229"/>
    </row>
    <row r="230" spans="8:20" x14ac:dyDescent="0.25">
      <c r="H230"/>
      <c r="L230"/>
      <c r="P230"/>
      <c r="T230"/>
    </row>
    <row r="231" spans="8:20" x14ac:dyDescent="0.25">
      <c r="H231"/>
      <c r="L231"/>
      <c r="P231"/>
      <c r="T231"/>
    </row>
    <row r="232" spans="8:20" x14ac:dyDescent="0.25">
      <c r="H232"/>
      <c r="L232"/>
      <c r="P232"/>
      <c r="T232"/>
    </row>
    <row r="233" spans="8:20" x14ac:dyDescent="0.25">
      <c r="H233"/>
      <c r="L233"/>
      <c r="P233"/>
      <c r="T233"/>
    </row>
    <row r="234" spans="8:20" x14ac:dyDescent="0.25">
      <c r="H234"/>
      <c r="L234"/>
      <c r="P234"/>
      <c r="T234"/>
    </row>
    <row r="235" spans="8:20" x14ac:dyDescent="0.25">
      <c r="H235"/>
      <c r="L235"/>
      <c r="P235"/>
      <c r="T235"/>
    </row>
    <row r="236" spans="8:20" x14ac:dyDescent="0.25">
      <c r="H236"/>
      <c r="L236"/>
      <c r="P236"/>
      <c r="T236"/>
    </row>
    <row r="237" spans="8:20" x14ac:dyDescent="0.25">
      <c r="H237"/>
      <c r="L237"/>
      <c r="P237"/>
      <c r="T237"/>
    </row>
    <row r="238" spans="8:20" x14ac:dyDescent="0.25">
      <c r="H238"/>
      <c r="L238"/>
      <c r="P238"/>
      <c r="T238"/>
    </row>
    <row r="239" spans="8:20" x14ac:dyDescent="0.25">
      <c r="H239"/>
      <c r="L239"/>
      <c r="P239"/>
      <c r="T239"/>
    </row>
    <row r="240" spans="8:20" x14ac:dyDescent="0.25">
      <c r="H240"/>
      <c r="L240"/>
      <c r="P240"/>
      <c r="T240"/>
    </row>
    <row r="241" spans="8:20" x14ac:dyDescent="0.25">
      <c r="H241"/>
      <c r="L241"/>
      <c r="P241"/>
      <c r="T241"/>
    </row>
    <row r="242" spans="8:20" x14ac:dyDescent="0.25">
      <c r="H242"/>
      <c r="L242"/>
      <c r="P242"/>
      <c r="T242"/>
    </row>
    <row r="243" spans="8:20" x14ac:dyDescent="0.25">
      <c r="H243"/>
      <c r="L243"/>
      <c r="P243"/>
      <c r="T243"/>
    </row>
    <row r="244" spans="8:20" x14ac:dyDescent="0.25">
      <c r="H244"/>
      <c r="L244"/>
      <c r="P244"/>
      <c r="T244"/>
    </row>
    <row r="245" spans="8:20" x14ac:dyDescent="0.25">
      <c r="H245"/>
      <c r="L245"/>
      <c r="P245"/>
      <c r="T245"/>
    </row>
    <row r="246" spans="8:20" x14ac:dyDescent="0.25">
      <c r="H246"/>
      <c r="L246"/>
      <c r="P246"/>
      <c r="T246"/>
    </row>
    <row r="247" spans="8:20" x14ac:dyDescent="0.25">
      <c r="H247"/>
      <c r="L247"/>
      <c r="P247"/>
      <c r="T247"/>
    </row>
    <row r="248" spans="8:20" x14ac:dyDescent="0.25">
      <c r="H248"/>
      <c r="L248"/>
      <c r="P248"/>
      <c r="T248"/>
    </row>
    <row r="249" spans="8:20" x14ac:dyDescent="0.25">
      <c r="H249"/>
      <c r="L249"/>
      <c r="P249"/>
      <c r="T249"/>
    </row>
    <row r="250" spans="8:20" x14ac:dyDescent="0.25">
      <c r="H250"/>
      <c r="L250"/>
      <c r="P250"/>
      <c r="T250"/>
    </row>
    <row r="251" spans="8:20" x14ac:dyDescent="0.25">
      <c r="H251"/>
      <c r="L251"/>
      <c r="P251"/>
      <c r="T251"/>
    </row>
    <row r="252" spans="8:20" x14ac:dyDescent="0.25">
      <c r="H252"/>
      <c r="L252"/>
      <c r="P252"/>
      <c r="T252"/>
    </row>
    <row r="253" spans="8:20" x14ac:dyDescent="0.25">
      <c r="H253"/>
      <c r="L253"/>
      <c r="P253"/>
      <c r="T253"/>
    </row>
    <row r="254" spans="8:20" x14ac:dyDescent="0.25">
      <c r="H254"/>
      <c r="L254"/>
      <c r="P254"/>
      <c r="T254"/>
    </row>
    <row r="255" spans="8:20" x14ac:dyDescent="0.25">
      <c r="H255"/>
      <c r="L255"/>
      <c r="P255"/>
      <c r="T255"/>
    </row>
    <row r="256" spans="8:20" x14ac:dyDescent="0.25">
      <c r="H256"/>
      <c r="L256"/>
      <c r="P256"/>
      <c r="T256"/>
    </row>
    <row r="257" spans="8:20" x14ac:dyDescent="0.25">
      <c r="H257"/>
      <c r="L257"/>
      <c r="P257"/>
      <c r="T257"/>
    </row>
    <row r="258" spans="8:20" x14ac:dyDescent="0.25">
      <c r="H258"/>
      <c r="L258"/>
      <c r="P258"/>
      <c r="T258"/>
    </row>
    <row r="259" spans="8:20" x14ac:dyDescent="0.25">
      <c r="H259"/>
      <c r="L259"/>
      <c r="P259"/>
      <c r="T259"/>
    </row>
    <row r="260" spans="8:20" x14ac:dyDescent="0.25">
      <c r="H260"/>
      <c r="L260"/>
      <c r="P260"/>
      <c r="T260"/>
    </row>
    <row r="261" spans="8:20" x14ac:dyDescent="0.25">
      <c r="H261"/>
      <c r="L261"/>
      <c r="P261"/>
      <c r="T261"/>
    </row>
    <row r="262" spans="8:20" x14ac:dyDescent="0.25">
      <c r="H262"/>
      <c r="L262"/>
      <c r="P262"/>
      <c r="T262"/>
    </row>
    <row r="263" spans="8:20" x14ac:dyDescent="0.25">
      <c r="H263"/>
      <c r="L263"/>
      <c r="P263"/>
      <c r="T263"/>
    </row>
    <row r="264" spans="8:20" x14ac:dyDescent="0.25">
      <c r="H264"/>
      <c r="L264"/>
      <c r="P264"/>
      <c r="T264"/>
    </row>
    <row r="265" spans="8:20" x14ac:dyDescent="0.25">
      <c r="H265"/>
      <c r="L265"/>
      <c r="P265"/>
      <c r="T265"/>
    </row>
    <row r="266" spans="8:20" x14ac:dyDescent="0.25">
      <c r="H266"/>
      <c r="L266"/>
      <c r="P266"/>
      <c r="T266"/>
    </row>
    <row r="267" spans="8:20" x14ac:dyDescent="0.25">
      <c r="H267"/>
      <c r="L267"/>
      <c r="P267"/>
      <c r="T267"/>
    </row>
    <row r="268" spans="8:20" x14ac:dyDescent="0.25">
      <c r="H268"/>
      <c r="L268"/>
      <c r="P268"/>
      <c r="T268"/>
    </row>
    <row r="269" spans="8:20" x14ac:dyDescent="0.25">
      <c r="H269"/>
      <c r="L269"/>
      <c r="P269"/>
      <c r="T269"/>
    </row>
    <row r="270" spans="8:20" x14ac:dyDescent="0.25">
      <c r="H270"/>
      <c r="L270"/>
      <c r="P270"/>
      <c r="T270"/>
    </row>
    <row r="271" spans="8:20" x14ac:dyDescent="0.25">
      <c r="H271"/>
      <c r="L271"/>
      <c r="P271"/>
      <c r="T271"/>
    </row>
    <row r="272" spans="8:20" x14ac:dyDescent="0.25">
      <c r="H272"/>
      <c r="L272"/>
      <c r="P272"/>
      <c r="T272"/>
    </row>
    <row r="273" spans="8:20" x14ac:dyDescent="0.25">
      <c r="H273"/>
      <c r="L273"/>
      <c r="P273"/>
      <c r="T273"/>
    </row>
    <row r="274" spans="8:20" x14ac:dyDescent="0.25">
      <c r="H274"/>
      <c r="L274"/>
      <c r="P274"/>
      <c r="T274"/>
    </row>
    <row r="275" spans="8:20" x14ac:dyDescent="0.25">
      <c r="H275"/>
      <c r="L275"/>
      <c r="P275"/>
      <c r="T275"/>
    </row>
    <row r="276" spans="8:20" x14ac:dyDescent="0.25">
      <c r="H276"/>
      <c r="L276"/>
      <c r="P276"/>
      <c r="T276"/>
    </row>
    <row r="277" spans="8:20" x14ac:dyDescent="0.25">
      <c r="H277"/>
      <c r="L277"/>
      <c r="P277"/>
      <c r="T277"/>
    </row>
    <row r="278" spans="8:20" x14ac:dyDescent="0.25">
      <c r="H278"/>
      <c r="L278"/>
      <c r="P278"/>
      <c r="T278"/>
    </row>
    <row r="279" spans="8:20" x14ac:dyDescent="0.25">
      <c r="H279"/>
      <c r="L279"/>
      <c r="P279"/>
      <c r="T279"/>
    </row>
    <row r="280" spans="8:20" x14ac:dyDescent="0.25">
      <c r="H280"/>
      <c r="L280"/>
      <c r="P280"/>
      <c r="T280"/>
    </row>
    <row r="281" spans="8:20" x14ac:dyDescent="0.25">
      <c r="H281"/>
      <c r="L281"/>
      <c r="P281"/>
      <c r="T281"/>
    </row>
    <row r="282" spans="8:20" x14ac:dyDescent="0.25">
      <c r="H282"/>
      <c r="L282"/>
      <c r="P282"/>
      <c r="T282"/>
    </row>
    <row r="283" spans="8:20" x14ac:dyDescent="0.25">
      <c r="H283"/>
      <c r="L283"/>
      <c r="P283"/>
      <c r="T283"/>
    </row>
    <row r="284" spans="8:20" x14ac:dyDescent="0.25">
      <c r="H284"/>
      <c r="L284"/>
      <c r="P284"/>
      <c r="T284"/>
    </row>
    <row r="285" spans="8:20" x14ac:dyDescent="0.25">
      <c r="H285"/>
      <c r="L285"/>
      <c r="P285"/>
      <c r="T285"/>
    </row>
    <row r="286" spans="8:20" x14ac:dyDescent="0.25">
      <c r="H286"/>
      <c r="L286"/>
      <c r="P286"/>
      <c r="T286"/>
    </row>
    <row r="287" spans="8:20" x14ac:dyDescent="0.25">
      <c r="H287"/>
      <c r="L287"/>
      <c r="P287"/>
      <c r="T287"/>
    </row>
    <row r="288" spans="8:20" x14ac:dyDescent="0.25">
      <c r="H288"/>
      <c r="L288"/>
      <c r="P288"/>
      <c r="T288"/>
    </row>
    <row r="289" spans="8:20" x14ac:dyDescent="0.25">
      <c r="H289"/>
      <c r="L289"/>
      <c r="P289"/>
      <c r="T289"/>
    </row>
    <row r="290" spans="8:20" x14ac:dyDescent="0.25">
      <c r="H290"/>
      <c r="L290"/>
      <c r="P290"/>
      <c r="T290"/>
    </row>
    <row r="291" spans="8:20" x14ac:dyDescent="0.25">
      <c r="H291"/>
      <c r="L291"/>
      <c r="P291"/>
      <c r="T291"/>
    </row>
    <row r="292" spans="8:20" x14ac:dyDescent="0.25">
      <c r="H292"/>
      <c r="L292"/>
      <c r="P292"/>
      <c r="T292"/>
    </row>
    <row r="293" spans="8:20" x14ac:dyDescent="0.25">
      <c r="H293"/>
      <c r="L293"/>
      <c r="P293"/>
      <c r="T293"/>
    </row>
    <row r="294" spans="8:20" x14ac:dyDescent="0.25">
      <c r="H294"/>
      <c r="L294"/>
      <c r="P294"/>
      <c r="T294"/>
    </row>
    <row r="295" spans="8:20" x14ac:dyDescent="0.25">
      <c r="H295"/>
      <c r="L295"/>
      <c r="P295"/>
      <c r="T295"/>
    </row>
    <row r="296" spans="8:20" x14ac:dyDescent="0.25">
      <c r="H296"/>
      <c r="L296"/>
      <c r="P296"/>
      <c r="T296"/>
    </row>
    <row r="297" spans="8:20" x14ac:dyDescent="0.25">
      <c r="H297"/>
      <c r="L297"/>
      <c r="P297"/>
      <c r="T297"/>
    </row>
    <row r="298" spans="8:20" x14ac:dyDescent="0.25">
      <c r="H298"/>
      <c r="L298"/>
      <c r="P298"/>
      <c r="T298"/>
    </row>
    <row r="299" spans="8:20" x14ac:dyDescent="0.25">
      <c r="H299"/>
      <c r="L299"/>
      <c r="P299"/>
      <c r="T299"/>
    </row>
    <row r="300" spans="8:20" x14ac:dyDescent="0.25">
      <c r="H300"/>
      <c r="L300"/>
      <c r="P300"/>
      <c r="T300"/>
    </row>
    <row r="301" spans="8:20" x14ac:dyDescent="0.25">
      <c r="H301"/>
      <c r="L301"/>
      <c r="P301"/>
      <c r="T301"/>
    </row>
    <row r="302" spans="8:20" x14ac:dyDescent="0.25">
      <c r="H302"/>
      <c r="L302"/>
      <c r="P302"/>
      <c r="T302"/>
    </row>
    <row r="303" spans="8:20" x14ac:dyDescent="0.25">
      <c r="H303"/>
      <c r="L303"/>
      <c r="P303"/>
      <c r="T303"/>
    </row>
    <row r="304" spans="8:20" x14ac:dyDescent="0.25">
      <c r="H304"/>
      <c r="L304"/>
      <c r="P304"/>
      <c r="T304"/>
    </row>
    <row r="305" spans="8:20" x14ac:dyDescent="0.25">
      <c r="H305"/>
      <c r="L305"/>
      <c r="P305"/>
      <c r="T305"/>
    </row>
    <row r="306" spans="8:20" x14ac:dyDescent="0.25">
      <c r="H306"/>
      <c r="L306"/>
      <c r="P306"/>
      <c r="T306"/>
    </row>
    <row r="307" spans="8:20" x14ac:dyDescent="0.25">
      <c r="H307"/>
      <c r="L307"/>
      <c r="P307"/>
      <c r="T307"/>
    </row>
    <row r="308" spans="8:20" x14ac:dyDescent="0.25">
      <c r="H308"/>
      <c r="L308"/>
      <c r="P308"/>
      <c r="T308"/>
    </row>
    <row r="309" spans="8:20" x14ac:dyDescent="0.25">
      <c r="H309"/>
      <c r="L309"/>
      <c r="P309"/>
      <c r="T309"/>
    </row>
    <row r="310" spans="8:20" x14ac:dyDescent="0.25">
      <c r="H310"/>
      <c r="L310"/>
      <c r="P310"/>
      <c r="T310"/>
    </row>
    <row r="311" spans="8:20" x14ac:dyDescent="0.25">
      <c r="H311"/>
      <c r="L311"/>
      <c r="P311"/>
      <c r="T311"/>
    </row>
    <row r="312" spans="8:20" x14ac:dyDescent="0.25">
      <c r="H312"/>
      <c r="L312"/>
      <c r="P312"/>
      <c r="T312"/>
    </row>
    <row r="313" spans="8:20" x14ac:dyDescent="0.25">
      <c r="H313"/>
      <c r="L313"/>
      <c r="P313"/>
      <c r="T313"/>
    </row>
    <row r="314" spans="8:20" x14ac:dyDescent="0.25">
      <c r="H314"/>
      <c r="L314"/>
      <c r="P314"/>
      <c r="T314"/>
    </row>
    <row r="315" spans="8:20" x14ac:dyDescent="0.25">
      <c r="H315"/>
      <c r="L315"/>
      <c r="P315"/>
      <c r="T315"/>
    </row>
    <row r="316" spans="8:20" x14ac:dyDescent="0.25">
      <c r="H316"/>
      <c r="L316"/>
      <c r="P316"/>
      <c r="T316"/>
    </row>
    <row r="317" spans="8:20" x14ac:dyDescent="0.25">
      <c r="H317"/>
      <c r="L317"/>
      <c r="P317"/>
      <c r="T317"/>
    </row>
    <row r="318" spans="8:20" x14ac:dyDescent="0.25">
      <c r="H318"/>
      <c r="L318"/>
      <c r="P318"/>
      <c r="T318"/>
    </row>
    <row r="319" spans="8:20" x14ac:dyDescent="0.25">
      <c r="H319"/>
      <c r="L319"/>
      <c r="P319"/>
      <c r="T319"/>
    </row>
    <row r="320" spans="8:20" x14ac:dyDescent="0.25">
      <c r="H320"/>
      <c r="L320"/>
      <c r="P320"/>
      <c r="T320"/>
    </row>
    <row r="321" spans="8:20" x14ac:dyDescent="0.25">
      <c r="H321"/>
      <c r="L321"/>
      <c r="P321"/>
      <c r="T321"/>
    </row>
    <row r="322" spans="8:20" x14ac:dyDescent="0.25">
      <c r="H322"/>
      <c r="L322"/>
      <c r="P322"/>
      <c r="T322"/>
    </row>
    <row r="323" spans="8:20" x14ac:dyDescent="0.25">
      <c r="H323"/>
      <c r="L323"/>
      <c r="P323"/>
      <c r="T323"/>
    </row>
    <row r="324" spans="8:20" x14ac:dyDescent="0.25">
      <c r="H324"/>
      <c r="L324"/>
      <c r="P324"/>
      <c r="T324"/>
    </row>
    <row r="325" spans="8:20" x14ac:dyDescent="0.25">
      <c r="H325"/>
      <c r="L325"/>
      <c r="P325"/>
      <c r="T325"/>
    </row>
    <row r="326" spans="8:20" x14ac:dyDescent="0.25">
      <c r="H326"/>
      <c r="L326"/>
      <c r="P326"/>
      <c r="T326"/>
    </row>
    <row r="327" spans="8:20" x14ac:dyDescent="0.25">
      <c r="H327"/>
      <c r="L327"/>
      <c r="P327"/>
      <c r="T327"/>
    </row>
    <row r="328" spans="8:20" x14ac:dyDescent="0.25">
      <c r="H328"/>
      <c r="L328"/>
      <c r="P328"/>
      <c r="T328"/>
    </row>
    <row r="329" spans="8:20" x14ac:dyDescent="0.25">
      <c r="H329"/>
      <c r="L329"/>
      <c r="P329"/>
      <c r="T329"/>
    </row>
    <row r="330" spans="8:20" x14ac:dyDescent="0.25">
      <c r="H330"/>
      <c r="L330"/>
      <c r="P330"/>
      <c r="T330"/>
    </row>
    <row r="331" spans="8:20" x14ac:dyDescent="0.25">
      <c r="H331"/>
      <c r="L331"/>
      <c r="P331"/>
      <c r="T331"/>
    </row>
    <row r="332" spans="8:20" x14ac:dyDescent="0.25">
      <c r="H332"/>
      <c r="L332"/>
      <c r="P332"/>
      <c r="T332"/>
    </row>
    <row r="333" spans="8:20" x14ac:dyDescent="0.25">
      <c r="H333"/>
      <c r="L333"/>
      <c r="P333"/>
      <c r="T333"/>
    </row>
    <row r="334" spans="8:20" x14ac:dyDescent="0.25">
      <c r="H334"/>
      <c r="L334"/>
      <c r="P334"/>
      <c r="T334"/>
    </row>
    <row r="335" spans="8:20" x14ac:dyDescent="0.25">
      <c r="H335"/>
      <c r="L335"/>
      <c r="P335"/>
      <c r="T335"/>
    </row>
    <row r="336" spans="8:20" x14ac:dyDescent="0.25">
      <c r="H336"/>
      <c r="L336"/>
      <c r="P336"/>
      <c r="T336"/>
    </row>
    <row r="337" spans="8:20" x14ac:dyDescent="0.25">
      <c r="H337"/>
      <c r="L337"/>
      <c r="P337"/>
      <c r="T337"/>
    </row>
    <row r="338" spans="8:20" x14ac:dyDescent="0.25">
      <c r="H338"/>
      <c r="L338"/>
      <c r="P338"/>
      <c r="T338"/>
    </row>
    <row r="339" spans="8:20" x14ac:dyDescent="0.25">
      <c r="H339"/>
      <c r="L339"/>
      <c r="P339"/>
      <c r="T339"/>
    </row>
    <row r="340" spans="8:20" x14ac:dyDescent="0.25">
      <c r="H340"/>
      <c r="L340"/>
      <c r="P340"/>
      <c r="T340"/>
    </row>
    <row r="341" spans="8:20" x14ac:dyDescent="0.25">
      <c r="H341"/>
      <c r="L341"/>
      <c r="P341"/>
      <c r="T341"/>
    </row>
    <row r="342" spans="8:20" x14ac:dyDescent="0.25">
      <c r="H342"/>
      <c r="L342"/>
      <c r="P342"/>
      <c r="T342"/>
    </row>
    <row r="343" spans="8:20" x14ac:dyDescent="0.25">
      <c r="H343"/>
      <c r="L343"/>
      <c r="P343"/>
      <c r="T343"/>
    </row>
    <row r="344" spans="8:20" x14ac:dyDescent="0.25">
      <c r="H344"/>
      <c r="L344"/>
      <c r="P344"/>
      <c r="T344"/>
    </row>
    <row r="345" spans="8:20" x14ac:dyDescent="0.25">
      <c r="H345"/>
      <c r="L345"/>
      <c r="P345"/>
      <c r="T345"/>
    </row>
    <row r="346" spans="8:20" x14ac:dyDescent="0.25">
      <c r="H346"/>
      <c r="L346"/>
      <c r="P346"/>
      <c r="T346"/>
    </row>
    <row r="347" spans="8:20" x14ac:dyDescent="0.25">
      <c r="H347"/>
      <c r="L347"/>
      <c r="P347"/>
      <c r="T347"/>
    </row>
    <row r="348" spans="8:20" x14ac:dyDescent="0.25">
      <c r="H348"/>
      <c r="L348"/>
      <c r="P348"/>
      <c r="T348"/>
    </row>
    <row r="349" spans="8:20" x14ac:dyDescent="0.25">
      <c r="H349"/>
      <c r="L349"/>
      <c r="P349"/>
      <c r="T349"/>
    </row>
    <row r="350" spans="8:20" x14ac:dyDescent="0.25">
      <c r="H350"/>
      <c r="L350"/>
      <c r="P350"/>
      <c r="T350"/>
    </row>
    <row r="351" spans="8:20" x14ac:dyDescent="0.25">
      <c r="H351"/>
      <c r="L351"/>
      <c r="P351"/>
      <c r="T351"/>
    </row>
    <row r="352" spans="8:20" x14ac:dyDescent="0.25">
      <c r="H352"/>
      <c r="L352"/>
      <c r="P352"/>
      <c r="T352"/>
    </row>
    <row r="353" spans="8:20" x14ac:dyDescent="0.25">
      <c r="H353"/>
      <c r="L353"/>
      <c r="P353"/>
      <c r="T353"/>
    </row>
    <row r="354" spans="8:20" x14ac:dyDescent="0.25">
      <c r="H354"/>
      <c r="L354"/>
      <c r="P354"/>
      <c r="T354"/>
    </row>
    <row r="355" spans="8:20" x14ac:dyDescent="0.25">
      <c r="H355"/>
      <c r="L355"/>
      <c r="P355"/>
      <c r="T355"/>
    </row>
    <row r="356" spans="8:20" x14ac:dyDescent="0.25">
      <c r="H356"/>
      <c r="L356"/>
      <c r="P356"/>
      <c r="T356"/>
    </row>
    <row r="357" spans="8:20" x14ac:dyDescent="0.25">
      <c r="H357"/>
      <c r="L357"/>
      <c r="P357"/>
      <c r="T357"/>
    </row>
    <row r="358" spans="8:20" x14ac:dyDescent="0.25">
      <c r="H358"/>
      <c r="L358"/>
      <c r="P358"/>
      <c r="T358"/>
    </row>
    <row r="359" spans="8:20" x14ac:dyDescent="0.25">
      <c r="H359"/>
      <c r="L359"/>
      <c r="P359"/>
      <c r="T359"/>
    </row>
    <row r="360" spans="8:20" x14ac:dyDescent="0.25">
      <c r="H360"/>
      <c r="L360"/>
      <c r="P360"/>
      <c r="T360"/>
    </row>
    <row r="361" spans="8:20" x14ac:dyDescent="0.25">
      <c r="H361"/>
      <c r="L361"/>
      <c r="P361"/>
      <c r="T361"/>
    </row>
    <row r="362" spans="8:20" x14ac:dyDescent="0.25">
      <c r="H362"/>
      <c r="L362"/>
      <c r="P362"/>
      <c r="T362"/>
    </row>
    <row r="363" spans="8:20" x14ac:dyDescent="0.25">
      <c r="H363"/>
      <c r="L363"/>
      <c r="P363"/>
      <c r="T363"/>
    </row>
    <row r="364" spans="8:20" x14ac:dyDescent="0.25">
      <c r="H364"/>
      <c r="L364"/>
      <c r="P364"/>
      <c r="T364"/>
    </row>
    <row r="365" spans="8:20" x14ac:dyDescent="0.25">
      <c r="H365"/>
      <c r="L365"/>
      <c r="P365"/>
      <c r="T365"/>
    </row>
    <row r="366" spans="8:20" x14ac:dyDescent="0.25">
      <c r="H366"/>
      <c r="L366"/>
      <c r="P366"/>
      <c r="T366"/>
    </row>
    <row r="367" spans="8:20" x14ac:dyDescent="0.25">
      <c r="H367"/>
      <c r="L367"/>
      <c r="P367"/>
      <c r="T367"/>
    </row>
    <row r="368" spans="8:20" x14ac:dyDescent="0.25">
      <c r="H368"/>
      <c r="L368"/>
      <c r="P368"/>
      <c r="T368"/>
    </row>
    <row r="369" spans="8:20" x14ac:dyDescent="0.25">
      <c r="H369"/>
      <c r="L369"/>
      <c r="P369"/>
      <c r="T369"/>
    </row>
    <row r="370" spans="8:20" x14ac:dyDescent="0.25">
      <c r="H370"/>
      <c r="L370"/>
      <c r="P370"/>
      <c r="T370"/>
    </row>
    <row r="371" spans="8:20" x14ac:dyDescent="0.25">
      <c r="H371"/>
      <c r="L371"/>
      <c r="P371"/>
      <c r="T371"/>
    </row>
    <row r="372" spans="8:20" x14ac:dyDescent="0.25">
      <c r="H372"/>
      <c r="L372"/>
      <c r="P372"/>
      <c r="T372"/>
    </row>
    <row r="373" spans="8:20" x14ac:dyDescent="0.25">
      <c r="H373"/>
      <c r="L373"/>
      <c r="P373"/>
      <c r="T373"/>
    </row>
    <row r="374" spans="8:20" x14ac:dyDescent="0.25">
      <c r="H374"/>
      <c r="L374"/>
      <c r="P374"/>
      <c r="T374"/>
    </row>
    <row r="375" spans="8:20" x14ac:dyDescent="0.25">
      <c r="H375"/>
      <c r="L375"/>
      <c r="P375"/>
      <c r="T375"/>
    </row>
    <row r="376" spans="8:20" x14ac:dyDescent="0.25">
      <c r="H376"/>
      <c r="L376"/>
      <c r="P376"/>
      <c r="T376"/>
    </row>
    <row r="377" spans="8:20" x14ac:dyDescent="0.25">
      <c r="H377"/>
      <c r="L377"/>
      <c r="P377"/>
      <c r="T377"/>
    </row>
    <row r="378" spans="8:20" x14ac:dyDescent="0.25">
      <c r="H378"/>
      <c r="L378"/>
      <c r="P378"/>
      <c r="T378"/>
    </row>
    <row r="379" spans="8:20" x14ac:dyDescent="0.25">
      <c r="H379"/>
      <c r="L379"/>
      <c r="P379"/>
      <c r="T379"/>
    </row>
    <row r="380" spans="8:20" x14ac:dyDescent="0.25">
      <c r="H380"/>
      <c r="L380"/>
      <c r="P380"/>
      <c r="T380"/>
    </row>
    <row r="381" spans="8:20" x14ac:dyDescent="0.25">
      <c r="H381"/>
      <c r="L381"/>
      <c r="P381"/>
      <c r="T381"/>
    </row>
    <row r="382" spans="8:20" x14ac:dyDescent="0.25">
      <c r="H382"/>
      <c r="L382"/>
      <c r="P382"/>
      <c r="T382"/>
    </row>
    <row r="383" spans="8:20" x14ac:dyDescent="0.25">
      <c r="H383"/>
      <c r="L383"/>
      <c r="P383"/>
      <c r="T383"/>
    </row>
    <row r="384" spans="8:20" x14ac:dyDescent="0.25">
      <c r="H384"/>
      <c r="L384"/>
      <c r="P384"/>
      <c r="T384"/>
    </row>
    <row r="385" spans="8:20" x14ac:dyDescent="0.25">
      <c r="H385"/>
      <c r="L385"/>
      <c r="P385"/>
      <c r="T385"/>
    </row>
    <row r="386" spans="8:20" x14ac:dyDescent="0.25">
      <c r="H386"/>
      <c r="L386"/>
      <c r="P386"/>
      <c r="T386"/>
    </row>
    <row r="387" spans="8:20" x14ac:dyDescent="0.25">
      <c r="H387"/>
      <c r="L387"/>
      <c r="P387"/>
      <c r="T387"/>
    </row>
    <row r="388" spans="8:20" x14ac:dyDescent="0.25">
      <c r="H388"/>
      <c r="L388"/>
      <c r="P388"/>
      <c r="T388"/>
    </row>
    <row r="389" spans="8:20" x14ac:dyDescent="0.25">
      <c r="H389"/>
      <c r="L389"/>
      <c r="P389"/>
      <c r="T389"/>
    </row>
    <row r="390" spans="8:20" x14ac:dyDescent="0.25">
      <c r="H390"/>
      <c r="L390"/>
      <c r="P390"/>
      <c r="T390"/>
    </row>
    <row r="391" spans="8:20" x14ac:dyDescent="0.25">
      <c r="H391"/>
      <c r="L391"/>
      <c r="P391"/>
      <c r="T391"/>
    </row>
    <row r="392" spans="8:20" x14ac:dyDescent="0.25">
      <c r="H392"/>
      <c r="L392"/>
      <c r="P392"/>
      <c r="T392"/>
    </row>
    <row r="393" spans="8:20" x14ac:dyDescent="0.25">
      <c r="H393"/>
      <c r="L393"/>
      <c r="P393"/>
      <c r="T393"/>
    </row>
    <row r="394" spans="8:20" x14ac:dyDescent="0.25">
      <c r="H394"/>
      <c r="L394"/>
      <c r="P394"/>
      <c r="T394"/>
    </row>
    <row r="395" spans="8:20" x14ac:dyDescent="0.25">
      <c r="H395"/>
      <c r="L395"/>
      <c r="P395"/>
      <c r="T395"/>
    </row>
    <row r="396" spans="8:20" x14ac:dyDescent="0.25">
      <c r="H396"/>
      <c r="L396"/>
      <c r="P396"/>
      <c r="T396"/>
    </row>
    <row r="397" spans="8:20" x14ac:dyDescent="0.25">
      <c r="H397"/>
      <c r="L397"/>
      <c r="P397"/>
      <c r="T397"/>
    </row>
    <row r="398" spans="8:20" x14ac:dyDescent="0.25">
      <c r="H398"/>
      <c r="L398"/>
      <c r="P398"/>
      <c r="T398"/>
    </row>
    <row r="399" spans="8:20" x14ac:dyDescent="0.25">
      <c r="H399"/>
      <c r="L399"/>
      <c r="P399"/>
      <c r="T399"/>
    </row>
    <row r="400" spans="8:20" x14ac:dyDescent="0.25">
      <c r="H400"/>
      <c r="L400"/>
      <c r="P400"/>
      <c r="T400"/>
    </row>
    <row r="401" spans="6:20" x14ac:dyDescent="0.25">
      <c r="H401"/>
      <c r="L401"/>
      <c r="P401"/>
      <c r="T401"/>
    </row>
    <row r="402" spans="6:20" x14ac:dyDescent="0.25">
      <c r="H402"/>
      <c r="L402"/>
      <c r="P402"/>
      <c r="T402"/>
    </row>
    <row r="403" spans="6:20" x14ac:dyDescent="0.25">
      <c r="H403"/>
      <c r="L403"/>
      <c r="P403"/>
      <c r="T403"/>
    </row>
    <row r="404" spans="6:20" x14ac:dyDescent="0.25">
      <c r="H404"/>
      <c r="L404"/>
      <c r="P404"/>
      <c r="T404"/>
    </row>
    <row r="405" spans="6:20" x14ac:dyDescent="0.25">
      <c r="H405"/>
      <c r="L405"/>
      <c r="P405"/>
      <c r="T405"/>
    </row>
    <row r="406" spans="6:20" x14ac:dyDescent="0.25">
      <c r="F406">
        <v>3</v>
      </c>
      <c r="H406"/>
      <c r="L406"/>
      <c r="P406"/>
      <c r="T406"/>
    </row>
    <row r="407" spans="6:20" x14ac:dyDescent="0.25">
      <c r="F407">
        <v>3</v>
      </c>
      <c r="H407"/>
      <c r="L407"/>
      <c r="P407"/>
      <c r="T407"/>
    </row>
    <row r="408" spans="6:20" x14ac:dyDescent="0.25">
      <c r="F408">
        <v>3</v>
      </c>
      <c r="H408"/>
      <c r="L408"/>
      <c r="P408"/>
      <c r="T408"/>
    </row>
    <row r="409" spans="6:20" x14ac:dyDescent="0.25">
      <c r="F409">
        <v>3</v>
      </c>
      <c r="H409"/>
      <c r="L409"/>
      <c r="P409"/>
      <c r="T409"/>
    </row>
    <row r="410" spans="6:20" x14ac:dyDescent="0.25">
      <c r="F410">
        <v>3</v>
      </c>
      <c r="H410"/>
      <c r="L410"/>
      <c r="P410"/>
      <c r="T410"/>
    </row>
    <row r="411" spans="6:20" x14ac:dyDescent="0.25">
      <c r="F411">
        <v>3</v>
      </c>
      <c r="H411"/>
      <c r="L411"/>
      <c r="P411"/>
      <c r="T411"/>
    </row>
    <row r="412" spans="6:20" x14ac:dyDescent="0.25">
      <c r="F412">
        <v>3</v>
      </c>
      <c r="H412"/>
      <c r="L412"/>
      <c r="P412"/>
      <c r="T412"/>
    </row>
    <row r="413" spans="6:20" x14ac:dyDescent="0.25">
      <c r="F413">
        <v>3</v>
      </c>
      <c r="H413"/>
      <c r="L413"/>
      <c r="P413"/>
      <c r="T413"/>
    </row>
    <row r="414" spans="6:20" x14ac:dyDescent="0.25">
      <c r="F414">
        <v>3</v>
      </c>
      <c r="H414"/>
      <c r="L414"/>
      <c r="P414"/>
      <c r="T414"/>
    </row>
    <row r="415" spans="6:20" x14ac:dyDescent="0.25">
      <c r="F415">
        <v>3</v>
      </c>
      <c r="H415"/>
      <c r="L415"/>
      <c r="P415"/>
      <c r="T415"/>
    </row>
    <row r="416" spans="6:20" x14ac:dyDescent="0.25">
      <c r="F416">
        <v>3</v>
      </c>
      <c r="H416"/>
      <c r="L416"/>
      <c r="P416"/>
      <c r="T416"/>
    </row>
    <row r="417" spans="6:20" x14ac:dyDescent="0.25">
      <c r="F417">
        <v>3</v>
      </c>
      <c r="H417"/>
      <c r="L417"/>
      <c r="P417"/>
      <c r="T417"/>
    </row>
    <row r="418" spans="6:20" x14ac:dyDescent="0.25">
      <c r="F418">
        <v>3</v>
      </c>
      <c r="H418"/>
      <c r="L418"/>
      <c r="P418"/>
      <c r="T418"/>
    </row>
    <row r="419" spans="6:20" x14ac:dyDescent="0.25">
      <c r="F419">
        <v>3</v>
      </c>
      <c r="H419"/>
      <c r="L419"/>
      <c r="P419"/>
      <c r="T419"/>
    </row>
    <row r="420" spans="6:20" x14ac:dyDescent="0.25">
      <c r="H420"/>
      <c r="L420"/>
      <c r="P420"/>
      <c r="T420"/>
    </row>
    <row r="421" spans="6:20" x14ac:dyDescent="0.25">
      <c r="H421"/>
      <c r="L421"/>
      <c r="P421"/>
      <c r="T421"/>
    </row>
    <row r="422" spans="6:20" x14ac:dyDescent="0.25">
      <c r="H422"/>
      <c r="L422"/>
      <c r="P422"/>
      <c r="T422"/>
    </row>
    <row r="423" spans="6:20" x14ac:dyDescent="0.25">
      <c r="H423"/>
      <c r="L423"/>
      <c r="P423"/>
      <c r="T423"/>
    </row>
    <row r="424" spans="6:20" x14ac:dyDescent="0.25">
      <c r="H424"/>
      <c r="L424"/>
      <c r="P424"/>
      <c r="T424"/>
    </row>
    <row r="425" spans="6:20" x14ac:dyDescent="0.25">
      <c r="H425"/>
      <c r="L425"/>
      <c r="P425"/>
      <c r="T425"/>
    </row>
    <row r="426" spans="6:20" x14ac:dyDescent="0.25">
      <c r="H426"/>
      <c r="L426"/>
      <c r="P426"/>
      <c r="T426"/>
    </row>
    <row r="427" spans="6:20" x14ac:dyDescent="0.25">
      <c r="H427"/>
      <c r="L427"/>
      <c r="P427"/>
      <c r="T427"/>
    </row>
    <row r="428" spans="6:20" x14ac:dyDescent="0.25">
      <c r="H428"/>
      <c r="L428"/>
      <c r="P428"/>
      <c r="T428"/>
    </row>
    <row r="429" spans="6:20" x14ac:dyDescent="0.25">
      <c r="H429"/>
      <c r="L429"/>
      <c r="P429"/>
      <c r="T429"/>
    </row>
    <row r="430" spans="6:20" x14ac:dyDescent="0.25">
      <c r="H430"/>
      <c r="L430"/>
      <c r="P430"/>
      <c r="T430"/>
    </row>
    <row r="431" spans="6:20" x14ac:dyDescent="0.25">
      <c r="H431"/>
      <c r="L431"/>
      <c r="P431"/>
      <c r="T431"/>
    </row>
    <row r="432" spans="6:20" x14ac:dyDescent="0.25">
      <c r="H432"/>
      <c r="L432"/>
      <c r="P432"/>
      <c r="T432"/>
    </row>
    <row r="433" spans="8:20" x14ac:dyDescent="0.25">
      <c r="H433"/>
      <c r="L433"/>
      <c r="P433"/>
      <c r="T433"/>
    </row>
    <row r="434" spans="8:20" x14ac:dyDescent="0.25">
      <c r="H434"/>
      <c r="L434"/>
      <c r="P434"/>
      <c r="T434"/>
    </row>
    <row r="435" spans="8:20" x14ac:dyDescent="0.25">
      <c r="H435"/>
      <c r="L435"/>
      <c r="P435"/>
      <c r="T435"/>
    </row>
    <row r="436" spans="8:20" x14ac:dyDescent="0.25">
      <c r="H436"/>
      <c r="L436"/>
      <c r="P436"/>
      <c r="T436"/>
    </row>
    <row r="437" spans="8:20" x14ac:dyDescent="0.25">
      <c r="H437"/>
      <c r="L437"/>
      <c r="P437"/>
      <c r="T437"/>
    </row>
    <row r="438" spans="8:20" x14ac:dyDescent="0.25">
      <c r="H438"/>
      <c r="L438"/>
      <c r="P438"/>
      <c r="T438"/>
    </row>
    <row r="439" spans="8:20" x14ac:dyDescent="0.25">
      <c r="H439"/>
      <c r="L439"/>
      <c r="P439"/>
      <c r="T439"/>
    </row>
    <row r="440" spans="8:20" x14ac:dyDescent="0.25">
      <c r="H440"/>
      <c r="L440"/>
      <c r="P440"/>
      <c r="T440"/>
    </row>
    <row r="441" spans="8:20" x14ac:dyDescent="0.25">
      <c r="H441"/>
      <c r="L441"/>
      <c r="P441"/>
      <c r="T441"/>
    </row>
    <row r="442" spans="8:20" x14ac:dyDescent="0.25">
      <c r="H442"/>
      <c r="L442"/>
      <c r="P442"/>
      <c r="T442"/>
    </row>
    <row r="443" spans="8:20" x14ac:dyDescent="0.25">
      <c r="H443"/>
      <c r="L443"/>
      <c r="P443"/>
      <c r="T443"/>
    </row>
    <row r="444" spans="8:20" x14ac:dyDescent="0.25">
      <c r="H444"/>
      <c r="L444"/>
      <c r="P444"/>
      <c r="T444"/>
    </row>
    <row r="445" spans="8:20" x14ac:dyDescent="0.25">
      <c r="H445"/>
      <c r="L445"/>
      <c r="P445"/>
      <c r="T445"/>
    </row>
    <row r="446" spans="8:20" x14ac:dyDescent="0.25">
      <c r="H446"/>
      <c r="L446"/>
      <c r="P446"/>
      <c r="T446"/>
    </row>
    <row r="447" spans="8:20" x14ac:dyDescent="0.25">
      <c r="H447"/>
      <c r="L447"/>
      <c r="P447"/>
      <c r="T447"/>
    </row>
    <row r="448" spans="8:20" x14ac:dyDescent="0.25">
      <c r="H448"/>
      <c r="L448"/>
      <c r="P448"/>
      <c r="T448"/>
    </row>
    <row r="449" spans="8:20" x14ac:dyDescent="0.25">
      <c r="H449"/>
      <c r="L449"/>
      <c r="P449"/>
      <c r="T449"/>
    </row>
    <row r="450" spans="8:20" x14ac:dyDescent="0.25">
      <c r="H450"/>
      <c r="L450"/>
      <c r="P450"/>
      <c r="T450"/>
    </row>
    <row r="451" spans="8:20" x14ac:dyDescent="0.25">
      <c r="H451"/>
      <c r="L451"/>
      <c r="P451"/>
      <c r="T451"/>
    </row>
    <row r="452" spans="8:20" x14ac:dyDescent="0.25">
      <c r="H452"/>
      <c r="L452"/>
      <c r="P452"/>
      <c r="T452"/>
    </row>
    <row r="453" spans="8:20" x14ac:dyDescent="0.25">
      <c r="H453"/>
      <c r="L453"/>
      <c r="P453"/>
      <c r="T453"/>
    </row>
    <row r="454" spans="8:20" x14ac:dyDescent="0.25">
      <c r="H454"/>
      <c r="L454"/>
      <c r="P454"/>
      <c r="T454"/>
    </row>
    <row r="455" spans="8:20" x14ac:dyDescent="0.25">
      <c r="H455"/>
      <c r="L455"/>
      <c r="P455"/>
      <c r="T455"/>
    </row>
    <row r="456" spans="8:20" x14ac:dyDescent="0.25">
      <c r="H456"/>
      <c r="L456"/>
      <c r="P456"/>
      <c r="T456"/>
    </row>
    <row r="457" spans="8:20" x14ac:dyDescent="0.25">
      <c r="H457"/>
      <c r="L457"/>
      <c r="P457"/>
      <c r="T457"/>
    </row>
    <row r="458" spans="8:20" x14ac:dyDescent="0.25">
      <c r="H458"/>
      <c r="L458"/>
      <c r="P458"/>
      <c r="T458"/>
    </row>
    <row r="459" spans="8:20" x14ac:dyDescent="0.25">
      <c r="H459"/>
      <c r="L459"/>
      <c r="P459"/>
      <c r="T459"/>
    </row>
    <row r="460" spans="8:20" x14ac:dyDescent="0.25">
      <c r="H460"/>
      <c r="L460"/>
      <c r="P460"/>
      <c r="T460"/>
    </row>
    <row r="461" spans="8:20" x14ac:dyDescent="0.25">
      <c r="H461"/>
      <c r="L461"/>
      <c r="P461"/>
      <c r="T461"/>
    </row>
    <row r="462" spans="8:20" x14ac:dyDescent="0.25">
      <c r="H462"/>
      <c r="L462"/>
      <c r="P462"/>
      <c r="T462"/>
    </row>
    <row r="463" spans="8:20" x14ac:dyDescent="0.25">
      <c r="H463"/>
      <c r="L463"/>
      <c r="P463"/>
      <c r="T463"/>
    </row>
    <row r="464" spans="8:20" x14ac:dyDescent="0.25">
      <c r="H464"/>
      <c r="L464"/>
      <c r="P464"/>
      <c r="T464"/>
    </row>
    <row r="465" spans="8:20" x14ac:dyDescent="0.25">
      <c r="H465"/>
      <c r="L465"/>
      <c r="P465"/>
      <c r="T465"/>
    </row>
    <row r="466" spans="8:20" x14ac:dyDescent="0.25">
      <c r="H466"/>
      <c r="L466"/>
      <c r="P466"/>
      <c r="T466"/>
    </row>
    <row r="467" spans="8:20" x14ac:dyDescent="0.25">
      <c r="H467"/>
      <c r="L467"/>
      <c r="P467"/>
      <c r="T467"/>
    </row>
    <row r="468" spans="8:20" x14ac:dyDescent="0.25">
      <c r="H468"/>
      <c r="L468"/>
      <c r="P468"/>
      <c r="T468"/>
    </row>
    <row r="469" spans="8:20" x14ac:dyDescent="0.25">
      <c r="H469"/>
      <c r="L469"/>
      <c r="P469"/>
      <c r="T469"/>
    </row>
    <row r="470" spans="8:20" x14ac:dyDescent="0.25">
      <c r="H470"/>
      <c r="L470"/>
      <c r="P470"/>
      <c r="T470"/>
    </row>
    <row r="471" spans="8:20" x14ac:dyDescent="0.25">
      <c r="H471"/>
      <c r="L471"/>
      <c r="P471"/>
      <c r="T471"/>
    </row>
    <row r="472" spans="8:20" x14ac:dyDescent="0.25">
      <c r="H472"/>
      <c r="L472"/>
      <c r="P472"/>
      <c r="T472"/>
    </row>
    <row r="473" spans="8:20" x14ac:dyDescent="0.25">
      <c r="H473"/>
      <c r="L473"/>
      <c r="P473"/>
      <c r="T473"/>
    </row>
    <row r="474" spans="8:20" x14ac:dyDescent="0.25">
      <c r="H474"/>
      <c r="L474"/>
      <c r="P474"/>
      <c r="T474"/>
    </row>
    <row r="475" spans="8:20" x14ac:dyDescent="0.25">
      <c r="H475"/>
      <c r="L475"/>
      <c r="P475"/>
      <c r="T475"/>
    </row>
    <row r="476" spans="8:20" x14ac:dyDescent="0.25">
      <c r="H476"/>
      <c r="L476"/>
      <c r="P476"/>
      <c r="T476"/>
    </row>
    <row r="477" spans="8:20" x14ac:dyDescent="0.25">
      <c r="H477"/>
      <c r="L477"/>
      <c r="P477"/>
      <c r="T477"/>
    </row>
    <row r="478" spans="8:20" x14ac:dyDescent="0.25">
      <c r="H478"/>
      <c r="L478"/>
      <c r="P478"/>
      <c r="T478"/>
    </row>
    <row r="479" spans="8:20" x14ac:dyDescent="0.25">
      <c r="H479"/>
      <c r="L479"/>
      <c r="P479"/>
      <c r="T479"/>
    </row>
    <row r="480" spans="8:20" x14ac:dyDescent="0.25">
      <c r="H480"/>
      <c r="L480"/>
      <c r="P480"/>
      <c r="T480"/>
    </row>
    <row r="481" spans="8:20" x14ac:dyDescent="0.25">
      <c r="H481"/>
      <c r="L481"/>
      <c r="P481"/>
      <c r="T481"/>
    </row>
    <row r="482" spans="8:20" x14ac:dyDescent="0.25">
      <c r="H482"/>
      <c r="L482"/>
      <c r="P482"/>
      <c r="T482"/>
    </row>
    <row r="483" spans="8:20" x14ac:dyDescent="0.25">
      <c r="H483"/>
      <c r="L483"/>
      <c r="P483"/>
      <c r="T483"/>
    </row>
    <row r="484" spans="8:20" x14ac:dyDescent="0.25">
      <c r="H484"/>
      <c r="L484"/>
      <c r="P484"/>
      <c r="T484"/>
    </row>
    <row r="485" spans="8:20" x14ac:dyDescent="0.25">
      <c r="H485"/>
      <c r="L485"/>
      <c r="P485"/>
      <c r="T485"/>
    </row>
    <row r="486" spans="8:20" x14ac:dyDescent="0.25">
      <c r="H486"/>
      <c r="L486"/>
      <c r="P486"/>
      <c r="T486"/>
    </row>
    <row r="487" spans="8:20" x14ac:dyDescent="0.25">
      <c r="H487"/>
      <c r="L487"/>
      <c r="P487"/>
      <c r="T487"/>
    </row>
    <row r="488" spans="8:20" x14ac:dyDescent="0.25">
      <c r="H488"/>
      <c r="L488"/>
      <c r="P488"/>
      <c r="T488"/>
    </row>
    <row r="489" spans="8:20" x14ac:dyDescent="0.25">
      <c r="H489"/>
      <c r="L489"/>
      <c r="P489"/>
      <c r="T489"/>
    </row>
    <row r="490" spans="8:20" x14ac:dyDescent="0.25">
      <c r="H490"/>
      <c r="L490"/>
      <c r="P490"/>
      <c r="T490"/>
    </row>
    <row r="491" spans="8:20" x14ac:dyDescent="0.25">
      <c r="H491"/>
      <c r="L491"/>
      <c r="P491"/>
      <c r="T491"/>
    </row>
    <row r="492" spans="8:20" x14ac:dyDescent="0.25">
      <c r="H492"/>
      <c r="L492"/>
      <c r="P492"/>
      <c r="T492"/>
    </row>
    <row r="493" spans="8:20" x14ac:dyDescent="0.25">
      <c r="H493"/>
      <c r="L493"/>
      <c r="P493"/>
      <c r="T493"/>
    </row>
    <row r="494" spans="8:20" x14ac:dyDescent="0.25">
      <c r="H494"/>
      <c r="L494"/>
      <c r="P494"/>
      <c r="T494"/>
    </row>
    <row r="495" spans="8:20" x14ac:dyDescent="0.25">
      <c r="H495"/>
      <c r="L495"/>
      <c r="P495"/>
      <c r="T495"/>
    </row>
    <row r="496" spans="8:20" x14ac:dyDescent="0.25">
      <c r="H496"/>
      <c r="L496"/>
      <c r="P496"/>
      <c r="T496"/>
    </row>
    <row r="497" spans="8:20" x14ac:dyDescent="0.25">
      <c r="H497"/>
      <c r="L497"/>
      <c r="P497"/>
      <c r="T497"/>
    </row>
    <row r="498" spans="8:20" x14ac:dyDescent="0.25">
      <c r="H498"/>
      <c r="L498"/>
      <c r="P498"/>
      <c r="T498"/>
    </row>
    <row r="499" spans="8:20" x14ac:dyDescent="0.25">
      <c r="H499"/>
      <c r="L499"/>
      <c r="P499"/>
      <c r="T499"/>
    </row>
    <row r="500" spans="8:20" x14ac:dyDescent="0.25">
      <c r="H500"/>
      <c r="L500"/>
      <c r="P500"/>
      <c r="T500"/>
    </row>
    <row r="501" spans="8:20" x14ac:dyDescent="0.25">
      <c r="H501"/>
      <c r="L501"/>
      <c r="P501"/>
      <c r="T501"/>
    </row>
    <row r="502" spans="8:20" x14ac:dyDescent="0.25">
      <c r="H502"/>
      <c r="L502"/>
      <c r="P502"/>
      <c r="T502"/>
    </row>
    <row r="503" spans="8:20" x14ac:dyDescent="0.25">
      <c r="H503"/>
      <c r="L503"/>
      <c r="P503"/>
      <c r="T503"/>
    </row>
    <row r="504" spans="8:20" x14ac:dyDescent="0.25">
      <c r="H504"/>
      <c r="L504"/>
      <c r="P504"/>
      <c r="T504"/>
    </row>
    <row r="505" spans="8:20" x14ac:dyDescent="0.25">
      <c r="H505"/>
      <c r="L505"/>
      <c r="P505"/>
      <c r="T505"/>
    </row>
    <row r="506" spans="8:20" x14ac:dyDescent="0.25">
      <c r="H506"/>
      <c r="L506"/>
      <c r="P506"/>
      <c r="T506"/>
    </row>
    <row r="507" spans="8:20" x14ac:dyDescent="0.25">
      <c r="H507"/>
      <c r="L507"/>
      <c r="P507"/>
      <c r="T507"/>
    </row>
    <row r="508" spans="8:20" x14ac:dyDescent="0.25">
      <c r="H508"/>
      <c r="L508"/>
      <c r="P508"/>
      <c r="T508"/>
    </row>
    <row r="509" spans="8:20" x14ac:dyDescent="0.25">
      <c r="H509"/>
      <c r="L509"/>
      <c r="P509"/>
      <c r="T509"/>
    </row>
    <row r="510" spans="8:20" x14ac:dyDescent="0.25">
      <c r="H510"/>
      <c r="L510"/>
      <c r="P510"/>
      <c r="T510"/>
    </row>
    <row r="511" spans="8:20" x14ac:dyDescent="0.25">
      <c r="H511"/>
      <c r="L511"/>
      <c r="P511"/>
      <c r="T511"/>
    </row>
    <row r="512" spans="8:20" x14ac:dyDescent="0.25">
      <c r="H512"/>
      <c r="L512"/>
      <c r="P512"/>
      <c r="T512"/>
    </row>
    <row r="513" spans="8:20" x14ac:dyDescent="0.25">
      <c r="H513"/>
      <c r="L513"/>
      <c r="P513"/>
      <c r="T513"/>
    </row>
    <row r="514" spans="8:20" x14ac:dyDescent="0.25">
      <c r="H514"/>
      <c r="L514"/>
      <c r="P514"/>
      <c r="T514"/>
    </row>
    <row r="515" spans="8:20" x14ac:dyDescent="0.25">
      <c r="H515"/>
      <c r="L515"/>
      <c r="P515"/>
      <c r="T515"/>
    </row>
    <row r="516" spans="8:20" x14ac:dyDescent="0.25">
      <c r="H516"/>
      <c r="L516"/>
      <c r="P516"/>
      <c r="T516"/>
    </row>
    <row r="517" spans="8:20" x14ac:dyDescent="0.25">
      <c r="H517"/>
      <c r="L517"/>
      <c r="P517"/>
      <c r="T517"/>
    </row>
    <row r="518" spans="8:20" x14ac:dyDescent="0.25">
      <c r="H518"/>
      <c r="L518"/>
      <c r="P518"/>
      <c r="T518"/>
    </row>
    <row r="519" spans="8:20" x14ac:dyDescent="0.25">
      <c r="H519"/>
      <c r="L519"/>
      <c r="P519"/>
      <c r="T519"/>
    </row>
    <row r="520" spans="8:20" x14ac:dyDescent="0.25">
      <c r="H520"/>
      <c r="L520"/>
      <c r="P520"/>
      <c r="T520"/>
    </row>
    <row r="521" spans="8:20" x14ac:dyDescent="0.25">
      <c r="H521"/>
      <c r="L521"/>
      <c r="P521"/>
      <c r="T521"/>
    </row>
    <row r="522" spans="8:20" x14ac:dyDescent="0.25">
      <c r="H522"/>
      <c r="L522"/>
      <c r="P522"/>
      <c r="T522"/>
    </row>
    <row r="523" spans="8:20" x14ac:dyDescent="0.25">
      <c r="H523"/>
      <c r="L523"/>
      <c r="P523"/>
      <c r="T523"/>
    </row>
    <row r="524" spans="8:20" x14ac:dyDescent="0.25">
      <c r="H524"/>
      <c r="L524"/>
      <c r="P524"/>
      <c r="T524"/>
    </row>
    <row r="525" spans="8:20" x14ac:dyDescent="0.25">
      <c r="H525"/>
      <c r="L525"/>
      <c r="P525"/>
      <c r="T525"/>
    </row>
    <row r="526" spans="8:20" x14ac:dyDescent="0.25">
      <c r="H526"/>
      <c r="L526"/>
      <c r="P526"/>
      <c r="T526"/>
    </row>
    <row r="527" spans="8:20" x14ac:dyDescent="0.25">
      <c r="H527"/>
      <c r="L527"/>
      <c r="P527"/>
      <c r="T527"/>
    </row>
    <row r="528" spans="8:20" x14ac:dyDescent="0.25">
      <c r="H528"/>
      <c r="L528"/>
      <c r="P528"/>
      <c r="T528"/>
    </row>
    <row r="529" spans="8:20" x14ac:dyDescent="0.25">
      <c r="H529"/>
      <c r="L529"/>
      <c r="P529"/>
      <c r="T529"/>
    </row>
    <row r="530" spans="8:20" x14ac:dyDescent="0.25">
      <c r="H530"/>
      <c r="L530"/>
      <c r="P530"/>
      <c r="T530"/>
    </row>
    <row r="531" spans="8:20" x14ac:dyDescent="0.25">
      <c r="H531"/>
      <c r="L531"/>
      <c r="P531"/>
      <c r="T531"/>
    </row>
    <row r="532" spans="8:20" x14ac:dyDescent="0.25">
      <c r="H532"/>
      <c r="L532"/>
      <c r="P532"/>
      <c r="T532"/>
    </row>
    <row r="533" spans="8:20" x14ac:dyDescent="0.25">
      <c r="H533"/>
      <c r="L533"/>
      <c r="P533"/>
      <c r="T533"/>
    </row>
    <row r="534" spans="8:20" x14ac:dyDescent="0.25">
      <c r="H534"/>
      <c r="L534"/>
      <c r="P534"/>
      <c r="T534"/>
    </row>
    <row r="535" spans="8:20" x14ac:dyDescent="0.25">
      <c r="H535"/>
      <c r="L535"/>
      <c r="P535"/>
      <c r="T535"/>
    </row>
    <row r="536" spans="8:20" x14ac:dyDescent="0.25">
      <c r="H536"/>
      <c r="L536"/>
      <c r="P536"/>
      <c r="T536"/>
    </row>
    <row r="537" spans="8:20" x14ac:dyDescent="0.25">
      <c r="H537"/>
      <c r="L537"/>
      <c r="P537"/>
      <c r="T537"/>
    </row>
    <row r="538" spans="8:20" x14ac:dyDescent="0.25">
      <c r="H538"/>
      <c r="L538"/>
      <c r="P538"/>
      <c r="T538"/>
    </row>
    <row r="539" spans="8:20" x14ac:dyDescent="0.25">
      <c r="H539"/>
      <c r="L539"/>
      <c r="P539"/>
      <c r="T539"/>
    </row>
    <row r="540" spans="8:20" x14ac:dyDescent="0.25">
      <c r="H540"/>
      <c r="L540"/>
      <c r="P540"/>
      <c r="T540"/>
    </row>
    <row r="541" spans="8:20" x14ac:dyDescent="0.25">
      <c r="H541"/>
      <c r="L541"/>
      <c r="P541"/>
      <c r="T541"/>
    </row>
    <row r="542" spans="8:20" x14ac:dyDescent="0.25">
      <c r="H542"/>
      <c r="L542"/>
      <c r="P542"/>
      <c r="T542"/>
    </row>
    <row r="543" spans="8:20" x14ac:dyDescent="0.25">
      <c r="H543"/>
      <c r="L543"/>
      <c r="P543"/>
      <c r="T543"/>
    </row>
    <row r="544" spans="8:20" x14ac:dyDescent="0.25">
      <c r="H544"/>
      <c r="L544"/>
      <c r="P544"/>
      <c r="T544"/>
    </row>
    <row r="545" spans="8:20" x14ac:dyDescent="0.25">
      <c r="H545"/>
      <c r="L545"/>
      <c r="P545"/>
      <c r="T545"/>
    </row>
    <row r="546" spans="8:20" x14ac:dyDescent="0.25">
      <c r="H546"/>
      <c r="L546"/>
      <c r="P546"/>
      <c r="T546"/>
    </row>
    <row r="547" spans="8:20" x14ac:dyDescent="0.25">
      <c r="H547"/>
      <c r="L547"/>
      <c r="P547"/>
      <c r="T547"/>
    </row>
    <row r="548" spans="8:20" x14ac:dyDescent="0.25">
      <c r="H548"/>
      <c r="L548"/>
      <c r="P548"/>
      <c r="T548"/>
    </row>
    <row r="549" spans="8:20" x14ac:dyDescent="0.25">
      <c r="H549"/>
      <c r="L549"/>
      <c r="P549"/>
      <c r="T549"/>
    </row>
    <row r="550" spans="8:20" x14ac:dyDescent="0.25">
      <c r="H550"/>
      <c r="L550"/>
      <c r="P550"/>
      <c r="T550"/>
    </row>
    <row r="551" spans="8:20" x14ac:dyDescent="0.25">
      <c r="H551"/>
      <c r="L551"/>
      <c r="P551"/>
      <c r="T551"/>
    </row>
    <row r="552" spans="8:20" x14ac:dyDescent="0.25">
      <c r="H552"/>
      <c r="L552"/>
      <c r="P552"/>
      <c r="T552"/>
    </row>
    <row r="553" spans="8:20" x14ac:dyDescent="0.25">
      <c r="H553"/>
      <c r="L553"/>
      <c r="P553"/>
      <c r="T553"/>
    </row>
    <row r="554" spans="8:20" x14ac:dyDescent="0.25">
      <c r="H554"/>
      <c r="L554"/>
      <c r="P554"/>
      <c r="T554"/>
    </row>
    <row r="555" spans="8:20" x14ac:dyDescent="0.25">
      <c r="H555"/>
      <c r="L555"/>
      <c r="P555"/>
      <c r="T555"/>
    </row>
    <row r="556" spans="8:20" x14ac:dyDescent="0.25">
      <c r="H556"/>
      <c r="L556"/>
      <c r="P556"/>
      <c r="T556"/>
    </row>
    <row r="557" spans="8:20" x14ac:dyDescent="0.25">
      <c r="H557"/>
      <c r="L557"/>
      <c r="P557"/>
      <c r="T557"/>
    </row>
    <row r="558" spans="8:20" x14ac:dyDescent="0.25">
      <c r="H558"/>
      <c r="L558"/>
      <c r="P558"/>
      <c r="T558"/>
    </row>
    <row r="559" spans="8:20" x14ac:dyDescent="0.25">
      <c r="H559"/>
      <c r="L559"/>
      <c r="P559"/>
      <c r="T559"/>
    </row>
    <row r="560" spans="8:20" x14ac:dyDescent="0.25">
      <c r="H560"/>
      <c r="L560"/>
      <c r="P560"/>
      <c r="T560"/>
    </row>
    <row r="561" spans="8:20" x14ac:dyDescent="0.25">
      <c r="H561"/>
      <c r="L561"/>
      <c r="P561"/>
      <c r="T561"/>
    </row>
    <row r="562" spans="8:20" x14ac:dyDescent="0.25">
      <c r="H562"/>
      <c r="L562"/>
      <c r="P562"/>
      <c r="T562"/>
    </row>
    <row r="563" spans="8:20" x14ac:dyDescent="0.25">
      <c r="H563"/>
      <c r="L563"/>
      <c r="P563"/>
      <c r="T563"/>
    </row>
    <row r="564" spans="8:20" x14ac:dyDescent="0.25">
      <c r="H564"/>
      <c r="L564"/>
      <c r="P564"/>
      <c r="T564"/>
    </row>
    <row r="565" spans="8:20" x14ac:dyDescent="0.25">
      <c r="H565"/>
      <c r="L565"/>
      <c r="P565"/>
      <c r="T565"/>
    </row>
    <row r="566" spans="8:20" x14ac:dyDescent="0.25">
      <c r="H566"/>
      <c r="L566"/>
      <c r="P566"/>
      <c r="T566"/>
    </row>
    <row r="567" spans="8:20" x14ac:dyDescent="0.25">
      <c r="H567"/>
      <c r="L567"/>
      <c r="P567"/>
      <c r="T567"/>
    </row>
    <row r="568" spans="8:20" x14ac:dyDescent="0.25">
      <c r="H568"/>
      <c r="L568"/>
      <c r="P568"/>
      <c r="T568"/>
    </row>
    <row r="569" spans="8:20" x14ac:dyDescent="0.25">
      <c r="H569"/>
      <c r="L569"/>
      <c r="P569"/>
      <c r="T569"/>
    </row>
    <row r="570" spans="8:20" x14ac:dyDescent="0.25">
      <c r="H570"/>
      <c r="L570"/>
      <c r="P570"/>
      <c r="T570"/>
    </row>
    <row r="571" spans="8:20" x14ac:dyDescent="0.25">
      <c r="H571"/>
      <c r="L571"/>
      <c r="P571"/>
      <c r="T571"/>
    </row>
    <row r="572" spans="8:20" x14ac:dyDescent="0.25">
      <c r="H572"/>
      <c r="L572"/>
      <c r="P572"/>
      <c r="T572"/>
    </row>
    <row r="573" spans="8:20" x14ac:dyDescent="0.25">
      <c r="H573"/>
      <c r="L573"/>
      <c r="P573"/>
      <c r="T573"/>
    </row>
    <row r="574" spans="8:20" x14ac:dyDescent="0.25">
      <c r="H574"/>
      <c r="L574"/>
      <c r="P574"/>
      <c r="T574"/>
    </row>
    <row r="575" spans="8:20" x14ac:dyDescent="0.25">
      <c r="H575"/>
      <c r="L575"/>
      <c r="P575"/>
      <c r="T575"/>
    </row>
    <row r="576" spans="8:20" x14ac:dyDescent="0.25">
      <c r="H576"/>
      <c r="L576"/>
      <c r="P576"/>
      <c r="T576"/>
    </row>
    <row r="577" spans="8:20" x14ac:dyDescent="0.25">
      <c r="H577"/>
      <c r="L577"/>
      <c r="P577"/>
      <c r="T577"/>
    </row>
    <row r="578" spans="8:20" x14ac:dyDescent="0.25">
      <c r="H578"/>
      <c r="L578"/>
      <c r="P578"/>
      <c r="T578"/>
    </row>
    <row r="579" spans="8:20" x14ac:dyDescent="0.25">
      <c r="H579"/>
      <c r="L579"/>
      <c r="P579"/>
      <c r="T579"/>
    </row>
    <row r="580" spans="8:20" x14ac:dyDescent="0.25">
      <c r="H580"/>
      <c r="L580"/>
      <c r="P580"/>
      <c r="T580"/>
    </row>
    <row r="581" spans="8:20" x14ac:dyDescent="0.25">
      <c r="H581"/>
      <c r="L581"/>
      <c r="P581"/>
      <c r="T581"/>
    </row>
    <row r="582" spans="8:20" x14ac:dyDescent="0.25">
      <c r="H582"/>
      <c r="L582"/>
      <c r="P582"/>
      <c r="T582"/>
    </row>
    <row r="583" spans="8:20" x14ac:dyDescent="0.25">
      <c r="H583"/>
      <c r="L583"/>
      <c r="P583"/>
      <c r="T583"/>
    </row>
    <row r="584" spans="8:20" x14ac:dyDescent="0.25">
      <c r="H584"/>
      <c r="L584"/>
      <c r="P584"/>
      <c r="T584"/>
    </row>
    <row r="585" spans="8:20" x14ac:dyDescent="0.25">
      <c r="H585"/>
      <c r="L585"/>
      <c r="P585"/>
      <c r="T585"/>
    </row>
    <row r="586" spans="8:20" x14ac:dyDescent="0.25">
      <c r="H586"/>
      <c r="L586"/>
      <c r="P586"/>
      <c r="T586"/>
    </row>
    <row r="587" spans="8:20" x14ac:dyDescent="0.25">
      <c r="H587"/>
      <c r="L587"/>
      <c r="P587"/>
      <c r="T587"/>
    </row>
    <row r="588" spans="8:20" x14ac:dyDescent="0.25">
      <c r="H588"/>
      <c r="L588"/>
      <c r="P588"/>
      <c r="T588"/>
    </row>
    <row r="589" spans="8:20" x14ac:dyDescent="0.25">
      <c r="H589"/>
      <c r="L589"/>
      <c r="P589"/>
      <c r="T589"/>
    </row>
    <row r="590" spans="8:20" x14ac:dyDescent="0.25">
      <c r="H590"/>
      <c r="L590"/>
      <c r="P590"/>
      <c r="T590"/>
    </row>
    <row r="591" spans="8:20" x14ac:dyDescent="0.25">
      <c r="H591"/>
      <c r="L591"/>
      <c r="P591"/>
      <c r="T591"/>
    </row>
    <row r="592" spans="8:20" x14ac:dyDescent="0.25">
      <c r="H592"/>
      <c r="L592"/>
      <c r="P592"/>
      <c r="T592"/>
    </row>
    <row r="593" spans="8:20" x14ac:dyDescent="0.25">
      <c r="H593"/>
      <c r="L593"/>
      <c r="P593"/>
      <c r="T593"/>
    </row>
    <row r="594" spans="8:20" x14ac:dyDescent="0.25">
      <c r="H594"/>
      <c r="L594"/>
      <c r="P594"/>
      <c r="T594"/>
    </row>
    <row r="595" spans="8:20" x14ac:dyDescent="0.25">
      <c r="H595"/>
      <c r="L595"/>
      <c r="P595"/>
      <c r="T595"/>
    </row>
    <row r="596" spans="8:20" x14ac:dyDescent="0.25">
      <c r="H596"/>
      <c r="L596"/>
      <c r="P596"/>
      <c r="T596"/>
    </row>
    <row r="597" spans="8:20" x14ac:dyDescent="0.25">
      <c r="H597"/>
      <c r="L597"/>
      <c r="P597"/>
      <c r="T597"/>
    </row>
    <row r="598" spans="8:20" x14ac:dyDescent="0.25">
      <c r="H598"/>
      <c r="L598"/>
      <c r="P598"/>
      <c r="T598"/>
    </row>
    <row r="599" spans="8:20" x14ac:dyDescent="0.25">
      <c r="H599"/>
      <c r="L599"/>
      <c r="P599"/>
      <c r="T599"/>
    </row>
    <row r="600" spans="8:20" x14ac:dyDescent="0.25">
      <c r="H600"/>
      <c r="L600"/>
      <c r="P600"/>
      <c r="T600"/>
    </row>
    <row r="601" spans="8:20" x14ac:dyDescent="0.25">
      <c r="H601"/>
      <c r="L601"/>
      <c r="P601"/>
      <c r="T601"/>
    </row>
    <row r="602" spans="8:20" x14ac:dyDescent="0.25">
      <c r="H602"/>
      <c r="L602"/>
      <c r="P602"/>
      <c r="T602"/>
    </row>
    <row r="603" spans="8:20" x14ac:dyDescent="0.25">
      <c r="H603"/>
      <c r="L603"/>
      <c r="P603"/>
      <c r="T603"/>
    </row>
    <row r="604" spans="8:20" x14ac:dyDescent="0.25">
      <c r="H604"/>
      <c r="L604"/>
      <c r="P604"/>
      <c r="T604"/>
    </row>
    <row r="605" spans="8:20" x14ac:dyDescent="0.25">
      <c r="H605"/>
      <c r="L605"/>
      <c r="P605"/>
      <c r="T605"/>
    </row>
    <row r="606" spans="8:20" x14ac:dyDescent="0.25">
      <c r="H606"/>
      <c r="L606"/>
      <c r="P606"/>
      <c r="T606"/>
    </row>
    <row r="607" spans="8:20" x14ac:dyDescent="0.25">
      <c r="H607"/>
      <c r="L607"/>
      <c r="P607"/>
      <c r="T607"/>
    </row>
    <row r="608" spans="8:20" x14ac:dyDescent="0.25">
      <c r="H608"/>
      <c r="L608"/>
      <c r="P608"/>
      <c r="T608"/>
    </row>
    <row r="609" spans="8:20" x14ac:dyDescent="0.25">
      <c r="H609"/>
      <c r="L609"/>
      <c r="P609"/>
      <c r="T609"/>
    </row>
    <row r="610" spans="8:20" x14ac:dyDescent="0.25">
      <c r="H610"/>
      <c r="L610"/>
      <c r="P610"/>
      <c r="T610"/>
    </row>
    <row r="611" spans="8:20" x14ac:dyDescent="0.25">
      <c r="H611"/>
      <c r="L611"/>
      <c r="P611"/>
      <c r="T611"/>
    </row>
    <row r="612" spans="8:20" x14ac:dyDescent="0.25">
      <c r="H612"/>
      <c r="L612"/>
      <c r="P612"/>
      <c r="T612"/>
    </row>
    <row r="613" spans="8:20" x14ac:dyDescent="0.25">
      <c r="H613"/>
      <c r="L613"/>
      <c r="P613"/>
      <c r="T613"/>
    </row>
    <row r="614" spans="8:20" x14ac:dyDescent="0.25">
      <c r="H614"/>
      <c r="L614"/>
      <c r="P614"/>
      <c r="T614"/>
    </row>
    <row r="615" spans="8:20" x14ac:dyDescent="0.25">
      <c r="H615"/>
      <c r="L615"/>
      <c r="P615"/>
      <c r="T615"/>
    </row>
    <row r="616" spans="8:20" x14ac:dyDescent="0.25">
      <c r="H616"/>
      <c r="L616"/>
      <c r="P616"/>
      <c r="T616"/>
    </row>
    <row r="617" spans="8:20" x14ac:dyDescent="0.25">
      <c r="H617"/>
      <c r="L617"/>
      <c r="P617"/>
      <c r="T617"/>
    </row>
    <row r="618" spans="8:20" x14ac:dyDescent="0.25">
      <c r="H618"/>
      <c r="L618"/>
      <c r="P618"/>
      <c r="T618"/>
    </row>
    <row r="619" spans="8:20" x14ac:dyDescent="0.25">
      <c r="H619"/>
      <c r="L619"/>
      <c r="P619"/>
      <c r="T619"/>
    </row>
    <row r="620" spans="8:20" x14ac:dyDescent="0.25">
      <c r="H620"/>
      <c r="L620"/>
      <c r="P620"/>
      <c r="T620"/>
    </row>
    <row r="621" spans="8:20" x14ac:dyDescent="0.25">
      <c r="H621"/>
      <c r="L621"/>
      <c r="P621"/>
      <c r="T621"/>
    </row>
    <row r="622" spans="8:20" x14ac:dyDescent="0.25">
      <c r="H622"/>
      <c r="L622"/>
      <c r="P622"/>
      <c r="T622"/>
    </row>
    <row r="623" spans="8:20" x14ac:dyDescent="0.25">
      <c r="H623"/>
      <c r="L623"/>
      <c r="P623"/>
      <c r="T623"/>
    </row>
    <row r="624" spans="8:20" x14ac:dyDescent="0.25">
      <c r="H624"/>
      <c r="L624"/>
      <c r="P624"/>
      <c r="T624"/>
    </row>
    <row r="625" spans="8:20" x14ac:dyDescent="0.25">
      <c r="H625"/>
      <c r="L625"/>
      <c r="P625"/>
      <c r="T625"/>
    </row>
    <row r="626" spans="8:20" x14ac:dyDescent="0.25">
      <c r="H626"/>
      <c r="L626"/>
      <c r="P626"/>
      <c r="T626"/>
    </row>
    <row r="627" spans="8:20" x14ac:dyDescent="0.25">
      <c r="H627"/>
      <c r="L627"/>
      <c r="P627"/>
      <c r="T627"/>
    </row>
    <row r="628" spans="8:20" x14ac:dyDescent="0.25">
      <c r="H628"/>
      <c r="L628"/>
      <c r="P628"/>
      <c r="T628"/>
    </row>
    <row r="629" spans="8:20" x14ac:dyDescent="0.25">
      <c r="H629"/>
      <c r="L629"/>
      <c r="P629"/>
      <c r="T629"/>
    </row>
    <row r="630" spans="8:20" x14ac:dyDescent="0.25">
      <c r="H630"/>
      <c r="L630"/>
      <c r="P630"/>
      <c r="T630"/>
    </row>
    <row r="631" spans="8:20" x14ac:dyDescent="0.25">
      <c r="H631"/>
      <c r="L631"/>
      <c r="P631"/>
      <c r="T631"/>
    </row>
    <row r="632" spans="8:20" x14ac:dyDescent="0.25">
      <c r="H632"/>
      <c r="L632"/>
      <c r="P632"/>
      <c r="T632"/>
    </row>
    <row r="633" spans="8:20" x14ac:dyDescent="0.25">
      <c r="H633"/>
      <c r="L633"/>
      <c r="P633"/>
      <c r="T633"/>
    </row>
    <row r="634" spans="8:20" x14ac:dyDescent="0.25">
      <c r="H634"/>
      <c r="L634"/>
      <c r="P634"/>
      <c r="T634"/>
    </row>
    <row r="635" spans="8:20" x14ac:dyDescent="0.25">
      <c r="H635"/>
      <c r="L635"/>
      <c r="P635"/>
      <c r="T635"/>
    </row>
    <row r="636" spans="8:20" x14ac:dyDescent="0.25">
      <c r="H636"/>
      <c r="L636"/>
      <c r="P636"/>
      <c r="T636"/>
    </row>
    <row r="637" spans="8:20" x14ac:dyDescent="0.25">
      <c r="H637"/>
      <c r="L637"/>
      <c r="P637"/>
      <c r="T637"/>
    </row>
    <row r="638" spans="8:20" x14ac:dyDescent="0.25">
      <c r="H638"/>
      <c r="L638"/>
      <c r="P638"/>
      <c r="T638"/>
    </row>
    <row r="639" spans="8:20" x14ac:dyDescent="0.25">
      <c r="H639"/>
      <c r="L639"/>
      <c r="P639"/>
      <c r="T639"/>
    </row>
    <row r="640" spans="8:20" x14ac:dyDescent="0.25">
      <c r="H640"/>
      <c r="L640"/>
      <c r="P640"/>
      <c r="T640"/>
    </row>
    <row r="641" spans="8:20" x14ac:dyDescent="0.25">
      <c r="H641"/>
      <c r="L641"/>
      <c r="P641"/>
      <c r="T641"/>
    </row>
    <row r="642" spans="8:20" x14ac:dyDescent="0.25">
      <c r="H642"/>
      <c r="L642"/>
      <c r="P642"/>
      <c r="T642"/>
    </row>
    <row r="643" spans="8:20" x14ac:dyDescent="0.25">
      <c r="H643"/>
      <c r="L643"/>
      <c r="P643"/>
      <c r="T643"/>
    </row>
    <row r="644" spans="8:20" x14ac:dyDescent="0.25">
      <c r="H644"/>
      <c r="L644"/>
      <c r="P644"/>
      <c r="T644"/>
    </row>
    <row r="645" spans="8:20" x14ac:dyDescent="0.25">
      <c r="H645"/>
      <c r="L645"/>
      <c r="P645"/>
      <c r="T645"/>
    </row>
    <row r="646" spans="8:20" x14ac:dyDescent="0.25">
      <c r="H646"/>
      <c r="L646"/>
      <c r="P646"/>
      <c r="T646"/>
    </row>
    <row r="647" spans="8:20" x14ac:dyDescent="0.25">
      <c r="H647"/>
      <c r="L647"/>
      <c r="P647"/>
      <c r="T647"/>
    </row>
    <row r="648" spans="8:20" x14ac:dyDescent="0.25">
      <c r="H648"/>
      <c r="L648"/>
      <c r="P648"/>
      <c r="T648"/>
    </row>
    <row r="649" spans="8:20" x14ac:dyDescent="0.25">
      <c r="H649"/>
      <c r="L649"/>
      <c r="P649"/>
      <c r="T649"/>
    </row>
    <row r="650" spans="8:20" x14ac:dyDescent="0.25">
      <c r="H650"/>
      <c r="L650"/>
      <c r="P650"/>
      <c r="T650"/>
    </row>
    <row r="651" spans="8:20" x14ac:dyDescent="0.25">
      <c r="H651"/>
      <c r="L651"/>
      <c r="P651"/>
      <c r="T651"/>
    </row>
    <row r="652" spans="8:20" x14ac:dyDescent="0.25">
      <c r="H652"/>
      <c r="L652"/>
      <c r="P652"/>
      <c r="T652"/>
    </row>
    <row r="653" spans="8:20" x14ac:dyDescent="0.25">
      <c r="H653"/>
      <c r="L653"/>
      <c r="P653"/>
      <c r="T653"/>
    </row>
    <row r="654" spans="8:20" x14ac:dyDescent="0.25">
      <c r="H654"/>
      <c r="L654"/>
      <c r="P654"/>
      <c r="T654"/>
    </row>
    <row r="655" spans="8:20" x14ac:dyDescent="0.25">
      <c r="H655"/>
      <c r="L655"/>
      <c r="P655"/>
      <c r="T655"/>
    </row>
    <row r="656" spans="8:20" x14ac:dyDescent="0.25">
      <c r="H656"/>
      <c r="L656"/>
      <c r="P656"/>
      <c r="T656"/>
    </row>
    <row r="657" spans="8:20" x14ac:dyDescent="0.25">
      <c r="H657"/>
      <c r="L657"/>
      <c r="P657"/>
      <c r="T657"/>
    </row>
    <row r="658" spans="8:20" x14ac:dyDescent="0.25">
      <c r="H658"/>
      <c r="L658"/>
      <c r="P658"/>
      <c r="T658"/>
    </row>
    <row r="659" spans="8:20" x14ac:dyDescent="0.25">
      <c r="H659"/>
      <c r="L659"/>
      <c r="P659"/>
      <c r="T659"/>
    </row>
    <row r="660" spans="8:20" x14ac:dyDescent="0.25">
      <c r="H660"/>
      <c r="L660"/>
      <c r="P660"/>
      <c r="T660"/>
    </row>
    <row r="661" spans="8:20" x14ac:dyDescent="0.25">
      <c r="H661"/>
      <c r="L661"/>
      <c r="P661"/>
      <c r="T661"/>
    </row>
    <row r="662" spans="8:20" x14ac:dyDescent="0.25">
      <c r="H662"/>
      <c r="L662"/>
      <c r="P662"/>
      <c r="T662"/>
    </row>
    <row r="663" spans="8:20" x14ac:dyDescent="0.25">
      <c r="H663"/>
      <c r="L663"/>
      <c r="P663"/>
      <c r="T663"/>
    </row>
    <row r="664" spans="8:20" x14ac:dyDescent="0.25">
      <c r="H664"/>
      <c r="L664"/>
      <c r="P664"/>
      <c r="T664"/>
    </row>
    <row r="665" spans="8:20" x14ac:dyDescent="0.25">
      <c r="H665"/>
      <c r="L665"/>
      <c r="P665"/>
      <c r="T665"/>
    </row>
    <row r="666" spans="8:20" x14ac:dyDescent="0.25">
      <c r="H666"/>
      <c r="L666"/>
      <c r="P666"/>
      <c r="T666"/>
    </row>
    <row r="667" spans="8:20" x14ac:dyDescent="0.25">
      <c r="H667"/>
      <c r="L667"/>
      <c r="P667"/>
      <c r="T667"/>
    </row>
    <row r="668" spans="8:20" x14ac:dyDescent="0.25">
      <c r="H668"/>
      <c r="L668"/>
      <c r="P668"/>
      <c r="T668"/>
    </row>
    <row r="669" spans="8:20" x14ac:dyDescent="0.25">
      <c r="H669"/>
      <c r="L669"/>
      <c r="P669"/>
      <c r="T669"/>
    </row>
    <row r="670" spans="8:20" x14ac:dyDescent="0.25">
      <c r="H670"/>
      <c r="L670"/>
      <c r="P670"/>
      <c r="T670"/>
    </row>
    <row r="671" spans="8:20" x14ac:dyDescent="0.25">
      <c r="H671"/>
      <c r="L671"/>
      <c r="P671"/>
      <c r="T671"/>
    </row>
    <row r="672" spans="8:20" x14ac:dyDescent="0.25">
      <c r="H672"/>
      <c r="L672"/>
      <c r="P672"/>
      <c r="T672"/>
    </row>
    <row r="673" spans="8:20" x14ac:dyDescent="0.25">
      <c r="H673"/>
      <c r="L673"/>
      <c r="P673"/>
      <c r="T673"/>
    </row>
    <row r="674" spans="8:20" x14ac:dyDescent="0.25">
      <c r="H674"/>
      <c r="L674"/>
      <c r="P674"/>
      <c r="T674"/>
    </row>
    <row r="675" spans="8:20" x14ac:dyDescent="0.25">
      <c r="H675"/>
      <c r="L675"/>
      <c r="P675"/>
      <c r="T675"/>
    </row>
    <row r="676" spans="8:20" x14ac:dyDescent="0.25">
      <c r="H676"/>
      <c r="L676"/>
      <c r="P676"/>
      <c r="T676"/>
    </row>
    <row r="677" spans="8:20" x14ac:dyDescent="0.25">
      <c r="H677"/>
      <c r="L677"/>
      <c r="P677"/>
      <c r="T677"/>
    </row>
    <row r="678" spans="8:20" x14ac:dyDescent="0.25">
      <c r="H678"/>
      <c r="L678"/>
      <c r="P678"/>
      <c r="T678"/>
    </row>
    <row r="679" spans="8:20" x14ac:dyDescent="0.25">
      <c r="H679"/>
      <c r="L679"/>
      <c r="P679"/>
      <c r="T679"/>
    </row>
    <row r="680" spans="8:20" x14ac:dyDescent="0.25">
      <c r="H680"/>
      <c r="L680"/>
      <c r="P680"/>
      <c r="T680"/>
    </row>
    <row r="681" spans="8:20" x14ac:dyDescent="0.25">
      <c r="H681"/>
      <c r="L681"/>
      <c r="P681"/>
      <c r="T681"/>
    </row>
    <row r="682" spans="8:20" x14ac:dyDescent="0.25">
      <c r="H682"/>
      <c r="L682"/>
      <c r="P682"/>
      <c r="T682"/>
    </row>
    <row r="683" spans="8:20" x14ac:dyDescent="0.25">
      <c r="H683"/>
      <c r="L683"/>
      <c r="P683"/>
      <c r="T683"/>
    </row>
    <row r="684" spans="8:20" x14ac:dyDescent="0.25">
      <c r="H684"/>
      <c r="L684"/>
      <c r="P684"/>
      <c r="T684"/>
    </row>
    <row r="685" spans="8:20" x14ac:dyDescent="0.25">
      <c r="H685"/>
      <c r="L685"/>
      <c r="P685"/>
      <c r="T685"/>
    </row>
    <row r="686" spans="8:20" x14ac:dyDescent="0.25">
      <c r="H686"/>
      <c r="L686"/>
      <c r="P686"/>
      <c r="T686"/>
    </row>
    <row r="687" spans="8:20" x14ac:dyDescent="0.25">
      <c r="H687"/>
      <c r="L687"/>
      <c r="P687"/>
      <c r="T687"/>
    </row>
    <row r="688" spans="8:20" x14ac:dyDescent="0.25">
      <c r="H688"/>
      <c r="L688"/>
      <c r="P688"/>
      <c r="T688"/>
    </row>
    <row r="689" spans="8:20" x14ac:dyDescent="0.25">
      <c r="H689"/>
      <c r="L689"/>
      <c r="P689"/>
      <c r="T689"/>
    </row>
    <row r="690" spans="8:20" x14ac:dyDescent="0.25">
      <c r="H690"/>
      <c r="L690"/>
      <c r="P690"/>
      <c r="T690"/>
    </row>
    <row r="691" spans="8:20" x14ac:dyDescent="0.25">
      <c r="H691"/>
      <c r="L691"/>
      <c r="P691"/>
      <c r="T691"/>
    </row>
    <row r="692" spans="8:20" x14ac:dyDescent="0.25">
      <c r="H692"/>
      <c r="L692"/>
      <c r="P692"/>
      <c r="T692"/>
    </row>
    <row r="693" spans="8:20" x14ac:dyDescent="0.25">
      <c r="H693"/>
      <c r="L693"/>
      <c r="P693"/>
      <c r="T693"/>
    </row>
    <row r="694" spans="8:20" x14ac:dyDescent="0.25">
      <c r="H694"/>
      <c r="L694"/>
      <c r="P694"/>
      <c r="T694"/>
    </row>
    <row r="695" spans="8:20" x14ac:dyDescent="0.25">
      <c r="H695"/>
      <c r="L695"/>
      <c r="P695"/>
      <c r="T695"/>
    </row>
    <row r="696" spans="8:20" x14ac:dyDescent="0.25">
      <c r="H696"/>
      <c r="L696"/>
      <c r="P696"/>
      <c r="T696"/>
    </row>
    <row r="697" spans="8:20" x14ac:dyDescent="0.25">
      <c r="H697"/>
      <c r="L697"/>
      <c r="P697"/>
      <c r="T697"/>
    </row>
    <row r="698" spans="8:20" x14ac:dyDescent="0.25">
      <c r="H698"/>
      <c r="L698"/>
      <c r="P698"/>
      <c r="T698"/>
    </row>
    <row r="699" spans="8:20" x14ac:dyDescent="0.25">
      <c r="H699"/>
      <c r="L699"/>
      <c r="P699"/>
      <c r="T699"/>
    </row>
    <row r="700" spans="8:20" x14ac:dyDescent="0.25">
      <c r="H700"/>
      <c r="L700"/>
      <c r="P700"/>
      <c r="T700"/>
    </row>
    <row r="701" spans="8:20" x14ac:dyDescent="0.25">
      <c r="H701"/>
      <c r="L701"/>
      <c r="P701"/>
      <c r="T701"/>
    </row>
    <row r="702" spans="8:20" x14ac:dyDescent="0.25">
      <c r="H702"/>
      <c r="L702"/>
      <c r="P702"/>
      <c r="T702"/>
    </row>
    <row r="703" spans="8:20" x14ac:dyDescent="0.25">
      <c r="H703"/>
      <c r="L703"/>
      <c r="P703"/>
      <c r="T703"/>
    </row>
    <row r="704" spans="8:20" x14ac:dyDescent="0.25">
      <c r="H704"/>
      <c r="L704"/>
      <c r="P704"/>
      <c r="T704"/>
    </row>
    <row r="705" spans="8:20" x14ac:dyDescent="0.25">
      <c r="H705"/>
      <c r="L705"/>
      <c r="P705"/>
      <c r="T705"/>
    </row>
    <row r="706" spans="8:20" x14ac:dyDescent="0.25">
      <c r="H706"/>
      <c r="L706"/>
      <c r="P706"/>
      <c r="T706"/>
    </row>
    <row r="707" spans="8:20" x14ac:dyDescent="0.25">
      <c r="H707"/>
      <c r="L707"/>
      <c r="P707"/>
      <c r="T707"/>
    </row>
    <row r="708" spans="8:20" x14ac:dyDescent="0.25">
      <c r="H708"/>
      <c r="L708"/>
      <c r="P708"/>
      <c r="T708"/>
    </row>
    <row r="709" spans="8:20" x14ac:dyDescent="0.25">
      <c r="H709"/>
      <c r="L709"/>
      <c r="P709"/>
      <c r="T709"/>
    </row>
    <row r="710" spans="8:20" x14ac:dyDescent="0.25">
      <c r="H710"/>
      <c r="L710"/>
      <c r="P710"/>
      <c r="T710"/>
    </row>
    <row r="711" spans="8:20" x14ac:dyDescent="0.25">
      <c r="H711"/>
      <c r="L711"/>
      <c r="P711"/>
      <c r="T711"/>
    </row>
    <row r="712" spans="8:20" x14ac:dyDescent="0.25">
      <c r="H712"/>
      <c r="L712"/>
      <c r="P712"/>
      <c r="T712"/>
    </row>
    <row r="713" spans="8:20" x14ac:dyDescent="0.25">
      <c r="H713"/>
      <c r="L713"/>
      <c r="P713"/>
      <c r="T713"/>
    </row>
    <row r="714" spans="8:20" x14ac:dyDescent="0.25">
      <c r="H714"/>
      <c r="L714"/>
      <c r="P714"/>
      <c r="T714"/>
    </row>
    <row r="715" spans="8:20" x14ac:dyDescent="0.25">
      <c r="H715"/>
      <c r="L715"/>
      <c r="P715"/>
      <c r="T715"/>
    </row>
    <row r="716" spans="8:20" x14ac:dyDescent="0.25">
      <c r="H716"/>
      <c r="L716"/>
      <c r="P716"/>
      <c r="T716"/>
    </row>
    <row r="717" spans="8:20" x14ac:dyDescent="0.25">
      <c r="H717"/>
      <c r="L717"/>
      <c r="P717"/>
      <c r="T717"/>
    </row>
    <row r="718" spans="8:20" x14ac:dyDescent="0.25">
      <c r="H718"/>
      <c r="L718"/>
      <c r="P718"/>
      <c r="T718"/>
    </row>
    <row r="719" spans="8:20" x14ac:dyDescent="0.25">
      <c r="H719"/>
      <c r="L719"/>
      <c r="P719"/>
      <c r="T719"/>
    </row>
    <row r="720" spans="8:20" x14ac:dyDescent="0.25">
      <c r="H720"/>
      <c r="L720"/>
      <c r="P720"/>
      <c r="T720"/>
    </row>
    <row r="721" spans="8:20" x14ac:dyDescent="0.25">
      <c r="H721"/>
      <c r="L721"/>
      <c r="P721"/>
      <c r="T721"/>
    </row>
    <row r="722" spans="8:20" x14ac:dyDescent="0.25">
      <c r="H722"/>
      <c r="L722"/>
      <c r="P722"/>
      <c r="T722"/>
    </row>
    <row r="723" spans="8:20" x14ac:dyDescent="0.25">
      <c r="H723"/>
      <c r="L723"/>
      <c r="P723"/>
      <c r="T723"/>
    </row>
    <row r="724" spans="8:20" x14ac:dyDescent="0.25">
      <c r="H724"/>
      <c r="L724"/>
      <c r="P724"/>
      <c r="T724"/>
    </row>
    <row r="725" spans="8:20" x14ac:dyDescent="0.25">
      <c r="H725"/>
      <c r="L725"/>
      <c r="P725"/>
      <c r="T725"/>
    </row>
    <row r="726" spans="8:20" x14ac:dyDescent="0.25">
      <c r="H726"/>
      <c r="L726"/>
      <c r="P726"/>
      <c r="T726"/>
    </row>
    <row r="727" spans="8:20" x14ac:dyDescent="0.25">
      <c r="H727"/>
      <c r="L727"/>
      <c r="P727"/>
      <c r="T727"/>
    </row>
    <row r="728" spans="8:20" x14ac:dyDescent="0.25">
      <c r="H728"/>
      <c r="L728"/>
      <c r="P728"/>
      <c r="T728"/>
    </row>
    <row r="729" spans="8:20" x14ac:dyDescent="0.25">
      <c r="H729"/>
      <c r="L729"/>
      <c r="P729"/>
      <c r="T729"/>
    </row>
    <row r="730" spans="8:20" x14ac:dyDescent="0.25">
      <c r="H730"/>
      <c r="L730"/>
      <c r="P730"/>
      <c r="T730"/>
    </row>
    <row r="731" spans="8:20" x14ac:dyDescent="0.25">
      <c r="H731"/>
      <c r="L731"/>
      <c r="P731"/>
      <c r="T731"/>
    </row>
    <row r="732" spans="8:20" x14ac:dyDescent="0.25">
      <c r="H732"/>
      <c r="L732"/>
      <c r="P732"/>
      <c r="T732"/>
    </row>
    <row r="733" spans="8:20" x14ac:dyDescent="0.25">
      <c r="H733"/>
      <c r="L733"/>
      <c r="P733"/>
      <c r="T733"/>
    </row>
    <row r="734" spans="8:20" x14ac:dyDescent="0.25">
      <c r="H734"/>
      <c r="L734"/>
      <c r="P734"/>
      <c r="T734"/>
    </row>
    <row r="735" spans="8:20" x14ac:dyDescent="0.25">
      <c r="H735"/>
      <c r="L735"/>
      <c r="P735"/>
      <c r="T735"/>
    </row>
    <row r="736" spans="8:20" x14ac:dyDescent="0.25">
      <c r="H736"/>
      <c r="L736"/>
      <c r="P736"/>
      <c r="T736"/>
    </row>
    <row r="737" spans="8:20" x14ac:dyDescent="0.25">
      <c r="H737"/>
      <c r="L737"/>
      <c r="P737"/>
      <c r="T737"/>
    </row>
    <row r="738" spans="8:20" x14ac:dyDescent="0.25">
      <c r="H738"/>
      <c r="L738"/>
      <c r="P738"/>
      <c r="T738"/>
    </row>
    <row r="739" spans="8:20" x14ac:dyDescent="0.25">
      <c r="H739"/>
      <c r="L739"/>
      <c r="P739"/>
      <c r="T739"/>
    </row>
    <row r="740" spans="8:20" x14ac:dyDescent="0.25">
      <c r="H740"/>
      <c r="L740"/>
      <c r="P740"/>
      <c r="T740"/>
    </row>
    <row r="741" spans="8:20" x14ac:dyDescent="0.25">
      <c r="H741"/>
      <c r="L741"/>
      <c r="P741"/>
      <c r="T741"/>
    </row>
    <row r="742" spans="8:20" x14ac:dyDescent="0.25">
      <c r="H742"/>
      <c r="L742"/>
      <c r="P742"/>
      <c r="T742"/>
    </row>
    <row r="743" spans="8:20" x14ac:dyDescent="0.25">
      <c r="H743"/>
      <c r="L743"/>
      <c r="P743"/>
      <c r="T743"/>
    </row>
    <row r="744" spans="8:20" x14ac:dyDescent="0.25">
      <c r="H744"/>
      <c r="L744"/>
      <c r="P744"/>
      <c r="T744"/>
    </row>
    <row r="745" spans="8:20" x14ac:dyDescent="0.25">
      <c r="H745"/>
      <c r="L745"/>
      <c r="P745"/>
      <c r="T745"/>
    </row>
    <row r="746" spans="8:20" x14ac:dyDescent="0.25">
      <c r="H746"/>
      <c r="L746"/>
      <c r="P746"/>
      <c r="T746"/>
    </row>
    <row r="747" spans="8:20" x14ac:dyDescent="0.25">
      <c r="H747"/>
      <c r="L747"/>
      <c r="P747"/>
      <c r="T747"/>
    </row>
    <row r="748" spans="8:20" x14ac:dyDescent="0.25">
      <c r="H748"/>
      <c r="L748"/>
      <c r="P748"/>
      <c r="T748"/>
    </row>
    <row r="749" spans="8:20" x14ac:dyDescent="0.25">
      <c r="H749"/>
      <c r="L749"/>
      <c r="P749"/>
      <c r="T749"/>
    </row>
    <row r="750" spans="8:20" x14ac:dyDescent="0.25">
      <c r="H750"/>
      <c r="L750"/>
      <c r="P750"/>
      <c r="T750"/>
    </row>
    <row r="751" spans="8:20" x14ac:dyDescent="0.25">
      <c r="H751"/>
      <c r="L751"/>
      <c r="P751"/>
      <c r="T751"/>
    </row>
    <row r="752" spans="8:20" x14ac:dyDescent="0.25">
      <c r="H752"/>
      <c r="L752"/>
      <c r="P752"/>
      <c r="T752"/>
    </row>
    <row r="753" spans="8:20" x14ac:dyDescent="0.25">
      <c r="H753"/>
      <c r="L753"/>
      <c r="P753"/>
      <c r="T753"/>
    </row>
    <row r="754" spans="8:20" x14ac:dyDescent="0.25">
      <c r="H754"/>
      <c r="L754"/>
      <c r="P754"/>
      <c r="T754"/>
    </row>
    <row r="755" spans="8:20" x14ac:dyDescent="0.25">
      <c r="H755"/>
      <c r="L755"/>
      <c r="P755"/>
      <c r="T755"/>
    </row>
    <row r="756" spans="8:20" x14ac:dyDescent="0.25">
      <c r="H756"/>
      <c r="L756"/>
      <c r="P756"/>
      <c r="T756"/>
    </row>
    <row r="757" spans="8:20" x14ac:dyDescent="0.25">
      <c r="H757"/>
      <c r="L757"/>
      <c r="P757"/>
      <c r="T757"/>
    </row>
    <row r="758" spans="8:20" x14ac:dyDescent="0.25">
      <c r="H758"/>
      <c r="L758"/>
      <c r="P758"/>
      <c r="T758"/>
    </row>
    <row r="759" spans="8:20" x14ac:dyDescent="0.25">
      <c r="H759"/>
      <c r="L759"/>
      <c r="P759"/>
      <c r="T759"/>
    </row>
    <row r="760" spans="8:20" x14ac:dyDescent="0.25">
      <c r="H760"/>
      <c r="L760"/>
      <c r="P760"/>
      <c r="T760"/>
    </row>
    <row r="761" spans="8:20" x14ac:dyDescent="0.25">
      <c r="H761"/>
      <c r="L761"/>
      <c r="P761"/>
      <c r="T761"/>
    </row>
    <row r="762" spans="8:20" x14ac:dyDescent="0.25">
      <c r="H762"/>
      <c r="L762"/>
      <c r="P762"/>
      <c r="T762"/>
    </row>
    <row r="763" spans="8:20" x14ac:dyDescent="0.25">
      <c r="H763"/>
      <c r="L763"/>
      <c r="P763"/>
      <c r="T763"/>
    </row>
    <row r="764" spans="8:20" x14ac:dyDescent="0.25">
      <c r="H764"/>
      <c r="L764"/>
      <c r="P764"/>
      <c r="T764"/>
    </row>
    <row r="765" spans="8:20" x14ac:dyDescent="0.25">
      <c r="H765"/>
      <c r="L765"/>
      <c r="P765"/>
      <c r="T765"/>
    </row>
    <row r="766" spans="8:20" x14ac:dyDescent="0.25">
      <c r="H766"/>
      <c r="L766"/>
      <c r="P766"/>
      <c r="T766"/>
    </row>
    <row r="767" spans="8:20" x14ac:dyDescent="0.25">
      <c r="H767"/>
      <c r="L767"/>
      <c r="P767"/>
      <c r="T767"/>
    </row>
    <row r="768" spans="8:20" x14ac:dyDescent="0.25">
      <c r="H768"/>
      <c r="L768"/>
      <c r="P768"/>
      <c r="T768"/>
    </row>
    <row r="769" spans="8:20" x14ac:dyDescent="0.25">
      <c r="H769"/>
      <c r="L769"/>
      <c r="P769"/>
      <c r="T769"/>
    </row>
    <row r="770" spans="8:20" x14ac:dyDescent="0.25">
      <c r="H770"/>
      <c r="L770"/>
      <c r="P770"/>
      <c r="T770"/>
    </row>
    <row r="771" spans="8:20" x14ac:dyDescent="0.25">
      <c r="H771"/>
      <c r="L771"/>
      <c r="P771"/>
      <c r="T771"/>
    </row>
    <row r="772" spans="8:20" x14ac:dyDescent="0.25">
      <c r="H772"/>
      <c r="L772"/>
      <c r="P772"/>
      <c r="T772"/>
    </row>
    <row r="773" spans="8:20" x14ac:dyDescent="0.25">
      <c r="H773"/>
      <c r="L773"/>
      <c r="P773"/>
      <c r="T773"/>
    </row>
    <row r="774" spans="8:20" x14ac:dyDescent="0.25">
      <c r="H774"/>
      <c r="L774"/>
      <c r="P774"/>
      <c r="T774"/>
    </row>
    <row r="775" spans="8:20" x14ac:dyDescent="0.25">
      <c r="H775"/>
      <c r="L775"/>
      <c r="P775"/>
      <c r="T775"/>
    </row>
    <row r="776" spans="8:20" x14ac:dyDescent="0.25">
      <c r="H776"/>
      <c r="L776"/>
      <c r="P776"/>
      <c r="T776"/>
    </row>
    <row r="777" spans="8:20" x14ac:dyDescent="0.25">
      <c r="H777"/>
      <c r="L777"/>
      <c r="P777"/>
      <c r="T777"/>
    </row>
    <row r="778" spans="8:20" x14ac:dyDescent="0.25">
      <c r="H778"/>
      <c r="L778"/>
      <c r="P778"/>
      <c r="T778"/>
    </row>
    <row r="779" spans="8:20" x14ac:dyDescent="0.25">
      <c r="H779"/>
      <c r="L779"/>
      <c r="P779"/>
      <c r="T779"/>
    </row>
    <row r="780" spans="8:20" x14ac:dyDescent="0.25">
      <c r="H780"/>
      <c r="L780"/>
      <c r="P780"/>
      <c r="T780"/>
    </row>
    <row r="781" spans="8:20" x14ac:dyDescent="0.25">
      <c r="H781"/>
      <c r="L781"/>
      <c r="P781"/>
      <c r="T781"/>
    </row>
    <row r="782" spans="8:20" x14ac:dyDescent="0.25">
      <c r="H782"/>
      <c r="L782"/>
      <c r="P782"/>
      <c r="T782"/>
    </row>
    <row r="783" spans="8:20" x14ac:dyDescent="0.25">
      <c r="H783"/>
      <c r="L783"/>
      <c r="P783"/>
      <c r="T783"/>
    </row>
    <row r="784" spans="8:20" x14ac:dyDescent="0.25">
      <c r="H784"/>
      <c r="L784"/>
      <c r="P784"/>
      <c r="T784"/>
    </row>
    <row r="785" spans="8:20" x14ac:dyDescent="0.25">
      <c r="H785"/>
      <c r="L785"/>
      <c r="P785"/>
      <c r="T785"/>
    </row>
    <row r="786" spans="8:20" x14ac:dyDescent="0.25">
      <c r="H786"/>
      <c r="L786"/>
      <c r="P786"/>
      <c r="T786"/>
    </row>
    <row r="787" spans="8:20" x14ac:dyDescent="0.25">
      <c r="H787"/>
      <c r="L787"/>
      <c r="P787"/>
      <c r="T787"/>
    </row>
    <row r="788" spans="8:20" x14ac:dyDescent="0.25">
      <c r="H788"/>
      <c r="L788"/>
      <c r="P788"/>
      <c r="T788"/>
    </row>
    <row r="789" spans="8:20" x14ac:dyDescent="0.25">
      <c r="H789"/>
      <c r="L789"/>
      <c r="P789"/>
      <c r="T789"/>
    </row>
    <row r="790" spans="8:20" x14ac:dyDescent="0.25">
      <c r="H790"/>
      <c r="L790"/>
      <c r="P790"/>
      <c r="T790"/>
    </row>
    <row r="791" spans="8:20" x14ac:dyDescent="0.25">
      <c r="H791"/>
      <c r="L791"/>
      <c r="P791"/>
      <c r="T791"/>
    </row>
    <row r="792" spans="8:20" x14ac:dyDescent="0.25">
      <c r="H792"/>
      <c r="L792"/>
      <c r="P792"/>
      <c r="T792"/>
    </row>
    <row r="793" spans="8:20" x14ac:dyDescent="0.25">
      <c r="H793"/>
      <c r="L793"/>
      <c r="P793"/>
      <c r="T793"/>
    </row>
    <row r="794" spans="8:20" x14ac:dyDescent="0.25">
      <c r="H794"/>
      <c r="L794"/>
      <c r="P794"/>
      <c r="T794"/>
    </row>
    <row r="795" spans="8:20" x14ac:dyDescent="0.25">
      <c r="H795"/>
      <c r="L795"/>
      <c r="P795"/>
      <c r="T795"/>
    </row>
    <row r="796" spans="8:20" x14ac:dyDescent="0.25">
      <c r="H796"/>
      <c r="L796"/>
      <c r="P796"/>
      <c r="T796"/>
    </row>
    <row r="797" spans="8:20" x14ac:dyDescent="0.25">
      <c r="H797"/>
      <c r="L797"/>
      <c r="P797"/>
      <c r="T797"/>
    </row>
    <row r="798" spans="8:20" x14ac:dyDescent="0.25">
      <c r="H798"/>
      <c r="L798"/>
      <c r="P798"/>
      <c r="T798"/>
    </row>
    <row r="799" spans="8:20" x14ac:dyDescent="0.25">
      <c r="H799"/>
      <c r="L799"/>
      <c r="P799"/>
      <c r="T799"/>
    </row>
    <row r="800" spans="8:20" x14ac:dyDescent="0.25">
      <c r="H800"/>
      <c r="L800"/>
      <c r="P800"/>
      <c r="T800"/>
    </row>
    <row r="801" spans="8:20" x14ac:dyDescent="0.25">
      <c r="H801"/>
      <c r="L801"/>
      <c r="P801"/>
      <c r="T801"/>
    </row>
    <row r="802" spans="8:20" x14ac:dyDescent="0.25">
      <c r="H802"/>
      <c r="L802"/>
      <c r="P802"/>
      <c r="T802"/>
    </row>
    <row r="803" spans="8:20" x14ac:dyDescent="0.25">
      <c r="H803"/>
      <c r="L803"/>
      <c r="P803"/>
      <c r="T803"/>
    </row>
    <row r="804" spans="8:20" x14ac:dyDescent="0.25">
      <c r="H804"/>
      <c r="L804"/>
      <c r="P804"/>
      <c r="T804"/>
    </row>
    <row r="805" spans="8:20" x14ac:dyDescent="0.25">
      <c r="H805"/>
      <c r="L805"/>
      <c r="P805"/>
      <c r="T805"/>
    </row>
    <row r="806" spans="8:20" x14ac:dyDescent="0.25">
      <c r="H806"/>
      <c r="L806"/>
      <c r="P806"/>
      <c r="T806"/>
    </row>
    <row r="807" spans="8:20" x14ac:dyDescent="0.25">
      <c r="H807"/>
      <c r="L807"/>
      <c r="P807"/>
      <c r="T807"/>
    </row>
    <row r="808" spans="8:20" x14ac:dyDescent="0.25">
      <c r="H808"/>
      <c r="L808"/>
      <c r="P808"/>
      <c r="T808"/>
    </row>
    <row r="809" spans="8:20" x14ac:dyDescent="0.25">
      <c r="H809"/>
      <c r="L809"/>
      <c r="P809"/>
      <c r="T809"/>
    </row>
    <row r="810" spans="8:20" x14ac:dyDescent="0.25">
      <c r="H810"/>
      <c r="L810"/>
      <c r="P810"/>
      <c r="T810"/>
    </row>
    <row r="811" spans="8:20" x14ac:dyDescent="0.25">
      <c r="H811"/>
      <c r="L811"/>
      <c r="P811"/>
      <c r="T811"/>
    </row>
    <row r="812" spans="8:20" x14ac:dyDescent="0.25">
      <c r="H812"/>
      <c r="L812"/>
      <c r="P812"/>
      <c r="T812"/>
    </row>
    <row r="813" spans="8:20" x14ac:dyDescent="0.25">
      <c r="H813"/>
      <c r="L813"/>
      <c r="P813"/>
      <c r="T813"/>
    </row>
    <row r="814" spans="8:20" x14ac:dyDescent="0.25">
      <c r="H814"/>
      <c r="L814"/>
      <c r="P814"/>
      <c r="T814"/>
    </row>
    <row r="815" spans="8:20" x14ac:dyDescent="0.25">
      <c r="H815"/>
      <c r="L815"/>
      <c r="P815"/>
      <c r="T815"/>
    </row>
    <row r="816" spans="8:20" x14ac:dyDescent="0.25">
      <c r="H816"/>
      <c r="L816"/>
      <c r="P816"/>
      <c r="T816"/>
    </row>
    <row r="817" spans="8:20" x14ac:dyDescent="0.25">
      <c r="H817"/>
      <c r="L817"/>
      <c r="P817"/>
      <c r="T817"/>
    </row>
    <row r="818" spans="8:20" x14ac:dyDescent="0.25">
      <c r="H818"/>
      <c r="L818"/>
      <c r="P818"/>
      <c r="T818"/>
    </row>
    <row r="819" spans="8:20" x14ac:dyDescent="0.25">
      <c r="H819"/>
      <c r="L819"/>
      <c r="P819"/>
      <c r="T819"/>
    </row>
    <row r="820" spans="8:20" x14ac:dyDescent="0.25">
      <c r="H820"/>
      <c r="L820"/>
      <c r="P820"/>
      <c r="T820"/>
    </row>
    <row r="821" spans="8:20" x14ac:dyDescent="0.25">
      <c r="H821"/>
      <c r="L821"/>
      <c r="P821"/>
      <c r="T821"/>
    </row>
    <row r="822" spans="8:20" x14ac:dyDescent="0.25">
      <c r="H822"/>
      <c r="L822"/>
      <c r="P822"/>
      <c r="T822"/>
    </row>
    <row r="823" spans="8:20" x14ac:dyDescent="0.25">
      <c r="H823"/>
      <c r="L823"/>
      <c r="P823"/>
      <c r="T823"/>
    </row>
    <row r="824" spans="8:20" x14ac:dyDescent="0.25">
      <c r="H824"/>
      <c r="L824"/>
      <c r="P824"/>
      <c r="T824"/>
    </row>
    <row r="825" spans="8:20" x14ac:dyDescent="0.25">
      <c r="H825"/>
      <c r="L825"/>
      <c r="P825"/>
      <c r="T825"/>
    </row>
    <row r="826" spans="8:20" x14ac:dyDescent="0.25">
      <c r="H826"/>
      <c r="L826"/>
      <c r="P826"/>
      <c r="T826"/>
    </row>
    <row r="827" spans="8:20" x14ac:dyDescent="0.25">
      <c r="H827"/>
      <c r="L827"/>
      <c r="P827"/>
      <c r="T827"/>
    </row>
    <row r="828" spans="8:20" x14ac:dyDescent="0.25">
      <c r="H828"/>
      <c r="L828"/>
      <c r="P828"/>
      <c r="T828"/>
    </row>
    <row r="829" spans="8:20" x14ac:dyDescent="0.25">
      <c r="H829"/>
      <c r="L829"/>
      <c r="P829"/>
      <c r="T829"/>
    </row>
    <row r="830" spans="8:20" x14ac:dyDescent="0.25">
      <c r="H830"/>
      <c r="L830"/>
      <c r="P830"/>
      <c r="T830"/>
    </row>
    <row r="831" spans="8:20" x14ac:dyDescent="0.25">
      <c r="H831"/>
      <c r="L831"/>
      <c r="P831"/>
      <c r="T831"/>
    </row>
    <row r="832" spans="8:20" x14ac:dyDescent="0.25">
      <c r="H832"/>
      <c r="L832"/>
      <c r="P832"/>
      <c r="T832"/>
    </row>
    <row r="833" spans="8:20" x14ac:dyDescent="0.25">
      <c r="H833"/>
      <c r="L833"/>
      <c r="P833"/>
      <c r="T833"/>
    </row>
    <row r="834" spans="8:20" x14ac:dyDescent="0.25">
      <c r="H834"/>
      <c r="L834"/>
      <c r="P834"/>
      <c r="T834"/>
    </row>
    <row r="835" spans="8:20" x14ac:dyDescent="0.25">
      <c r="H835"/>
      <c r="L835"/>
      <c r="P835"/>
      <c r="T835"/>
    </row>
    <row r="836" spans="8:20" x14ac:dyDescent="0.25">
      <c r="H836"/>
      <c r="L836"/>
      <c r="P836"/>
      <c r="T836"/>
    </row>
    <row r="837" spans="8:20" x14ac:dyDescent="0.25">
      <c r="H837"/>
      <c r="L837"/>
      <c r="P837"/>
      <c r="T837"/>
    </row>
    <row r="838" spans="8:20" x14ac:dyDescent="0.25">
      <c r="H838"/>
      <c r="L838"/>
      <c r="P838"/>
      <c r="T838"/>
    </row>
    <row r="839" spans="8:20" x14ac:dyDescent="0.25">
      <c r="H839"/>
      <c r="L839"/>
      <c r="P839"/>
      <c r="T839"/>
    </row>
    <row r="840" spans="8:20" x14ac:dyDescent="0.25">
      <c r="H840"/>
      <c r="L840"/>
      <c r="P840"/>
      <c r="T840"/>
    </row>
    <row r="841" spans="8:20" x14ac:dyDescent="0.25">
      <c r="H841"/>
      <c r="L841"/>
      <c r="P841"/>
      <c r="T841"/>
    </row>
    <row r="842" spans="8:20" x14ac:dyDescent="0.25">
      <c r="H842"/>
      <c r="L842"/>
      <c r="P842"/>
      <c r="T842"/>
    </row>
    <row r="843" spans="8:20" x14ac:dyDescent="0.25">
      <c r="H843"/>
      <c r="L843"/>
      <c r="P843"/>
      <c r="T843"/>
    </row>
    <row r="844" spans="8:20" x14ac:dyDescent="0.25">
      <c r="H844"/>
      <c r="L844"/>
      <c r="P844"/>
      <c r="T844"/>
    </row>
    <row r="845" spans="8:20" x14ac:dyDescent="0.25">
      <c r="H845"/>
      <c r="L845"/>
      <c r="P845"/>
      <c r="T845"/>
    </row>
    <row r="846" spans="8:20" x14ac:dyDescent="0.25">
      <c r="H846"/>
      <c r="L846"/>
      <c r="P846"/>
      <c r="T846"/>
    </row>
    <row r="847" spans="8:20" x14ac:dyDescent="0.25">
      <c r="H847"/>
      <c r="L847"/>
      <c r="P847"/>
      <c r="T847"/>
    </row>
    <row r="848" spans="8:20" x14ac:dyDescent="0.25">
      <c r="H848"/>
      <c r="L848"/>
      <c r="P848"/>
      <c r="T848"/>
    </row>
    <row r="849" spans="8:20" x14ac:dyDescent="0.25">
      <c r="H849"/>
      <c r="L849"/>
      <c r="P849"/>
      <c r="T849"/>
    </row>
    <row r="850" spans="8:20" x14ac:dyDescent="0.25">
      <c r="H850"/>
      <c r="L850"/>
      <c r="P850"/>
      <c r="T850"/>
    </row>
    <row r="851" spans="8:20" x14ac:dyDescent="0.25">
      <c r="H851"/>
      <c r="L851"/>
      <c r="P851"/>
      <c r="T851"/>
    </row>
    <row r="852" spans="8:20" x14ac:dyDescent="0.25">
      <c r="H852"/>
      <c r="L852"/>
      <c r="P852"/>
      <c r="T852"/>
    </row>
    <row r="853" spans="8:20" x14ac:dyDescent="0.25">
      <c r="H853"/>
      <c r="L853"/>
      <c r="P853"/>
      <c r="T853"/>
    </row>
    <row r="854" spans="8:20" x14ac:dyDescent="0.25">
      <c r="H854"/>
      <c r="L854"/>
      <c r="P854"/>
      <c r="T854"/>
    </row>
    <row r="855" spans="8:20" x14ac:dyDescent="0.25">
      <c r="H855"/>
      <c r="L855"/>
      <c r="P855"/>
      <c r="T855"/>
    </row>
    <row r="856" spans="8:20" x14ac:dyDescent="0.25">
      <c r="H856"/>
      <c r="L856"/>
      <c r="P856"/>
      <c r="T856"/>
    </row>
    <row r="857" spans="8:20" x14ac:dyDescent="0.25">
      <c r="H857"/>
      <c r="L857"/>
      <c r="P857"/>
      <c r="T857"/>
    </row>
    <row r="858" spans="8:20" x14ac:dyDescent="0.25">
      <c r="H858"/>
      <c r="L858"/>
      <c r="P858"/>
      <c r="T858"/>
    </row>
    <row r="859" spans="8:20" x14ac:dyDescent="0.25">
      <c r="H859"/>
      <c r="L859"/>
      <c r="P859"/>
      <c r="T859"/>
    </row>
    <row r="860" spans="8:20" x14ac:dyDescent="0.25">
      <c r="H860"/>
      <c r="L860"/>
      <c r="P860"/>
      <c r="T860"/>
    </row>
    <row r="861" spans="8:20" x14ac:dyDescent="0.25">
      <c r="H861"/>
      <c r="L861"/>
      <c r="P861"/>
      <c r="T861"/>
    </row>
    <row r="862" spans="8:20" x14ac:dyDescent="0.25">
      <c r="H862"/>
      <c r="L862"/>
      <c r="P862"/>
      <c r="T862"/>
    </row>
    <row r="863" spans="8:20" x14ac:dyDescent="0.25">
      <c r="H863"/>
      <c r="L863"/>
      <c r="P863"/>
      <c r="T863"/>
    </row>
    <row r="864" spans="8:20" x14ac:dyDescent="0.25">
      <c r="H864"/>
      <c r="L864"/>
      <c r="P864"/>
      <c r="T864"/>
    </row>
    <row r="865" spans="8:20" x14ac:dyDescent="0.25">
      <c r="H865"/>
      <c r="L865"/>
      <c r="P865"/>
      <c r="T865"/>
    </row>
    <row r="866" spans="8:20" x14ac:dyDescent="0.25">
      <c r="H866"/>
      <c r="L866"/>
      <c r="P866"/>
      <c r="T866"/>
    </row>
    <row r="867" spans="8:20" x14ac:dyDescent="0.25">
      <c r="H867"/>
      <c r="L867"/>
      <c r="P867"/>
      <c r="T867"/>
    </row>
    <row r="868" spans="8:20" x14ac:dyDescent="0.25">
      <c r="H868"/>
      <c r="L868"/>
      <c r="P868"/>
      <c r="T868"/>
    </row>
    <row r="869" spans="8:20" x14ac:dyDescent="0.25">
      <c r="H869"/>
      <c r="L869"/>
      <c r="P869"/>
      <c r="T869"/>
    </row>
    <row r="870" spans="8:20" x14ac:dyDescent="0.25">
      <c r="H870"/>
      <c r="L870"/>
      <c r="P870"/>
      <c r="T870"/>
    </row>
    <row r="871" spans="8:20" x14ac:dyDescent="0.25">
      <c r="H871"/>
      <c r="L871"/>
      <c r="P871"/>
      <c r="T871"/>
    </row>
    <row r="872" spans="8:20" x14ac:dyDescent="0.25">
      <c r="H872"/>
      <c r="L872"/>
      <c r="P872"/>
      <c r="T872"/>
    </row>
    <row r="873" spans="8:20" x14ac:dyDescent="0.25">
      <c r="H873"/>
      <c r="L873"/>
      <c r="P873"/>
      <c r="T873"/>
    </row>
    <row r="874" spans="8:20" x14ac:dyDescent="0.25">
      <c r="H874"/>
      <c r="L874"/>
      <c r="P874"/>
      <c r="T874"/>
    </row>
    <row r="875" spans="8:20" x14ac:dyDescent="0.25">
      <c r="H875"/>
      <c r="L875"/>
      <c r="P875"/>
      <c r="T875"/>
    </row>
    <row r="876" spans="8:20" x14ac:dyDescent="0.25">
      <c r="H876"/>
      <c r="L876"/>
      <c r="P876"/>
      <c r="T876"/>
    </row>
    <row r="877" spans="8:20" x14ac:dyDescent="0.25">
      <c r="H877"/>
      <c r="L877"/>
      <c r="P877"/>
      <c r="T877"/>
    </row>
    <row r="878" spans="8:20" x14ac:dyDescent="0.25">
      <c r="H878"/>
      <c r="L878"/>
      <c r="P878"/>
      <c r="T878"/>
    </row>
    <row r="879" spans="8:20" x14ac:dyDescent="0.25">
      <c r="H879"/>
      <c r="L879"/>
      <c r="P879"/>
      <c r="T879"/>
    </row>
    <row r="880" spans="8:20" x14ac:dyDescent="0.25">
      <c r="H880"/>
      <c r="L880"/>
      <c r="P880"/>
      <c r="T880"/>
    </row>
    <row r="881" spans="8:20" x14ac:dyDescent="0.25">
      <c r="H881"/>
      <c r="L881"/>
      <c r="P881"/>
      <c r="T881"/>
    </row>
    <row r="882" spans="8:20" x14ac:dyDescent="0.25">
      <c r="H882"/>
      <c r="L882"/>
      <c r="P882"/>
      <c r="T882"/>
    </row>
    <row r="883" spans="8:20" x14ac:dyDescent="0.25">
      <c r="H883"/>
      <c r="L883"/>
      <c r="P883"/>
      <c r="T883"/>
    </row>
    <row r="884" spans="8:20" x14ac:dyDescent="0.25">
      <c r="H884"/>
      <c r="L884"/>
      <c r="P884"/>
      <c r="T884"/>
    </row>
    <row r="885" spans="8:20" x14ac:dyDescent="0.25">
      <c r="H885"/>
      <c r="L885"/>
      <c r="P885"/>
      <c r="T885"/>
    </row>
    <row r="886" spans="8:20" x14ac:dyDescent="0.25">
      <c r="H886"/>
      <c r="L886"/>
      <c r="P886"/>
      <c r="T886"/>
    </row>
    <row r="887" spans="8:20" x14ac:dyDescent="0.25">
      <c r="H887"/>
      <c r="L887"/>
      <c r="P887"/>
      <c r="T887"/>
    </row>
    <row r="888" spans="8:20" x14ac:dyDescent="0.25">
      <c r="H888"/>
      <c r="L888"/>
      <c r="P888"/>
      <c r="T888"/>
    </row>
    <row r="889" spans="8:20" x14ac:dyDescent="0.25">
      <c r="H889"/>
      <c r="L889"/>
      <c r="P889"/>
      <c r="T889"/>
    </row>
    <row r="890" spans="8:20" x14ac:dyDescent="0.25">
      <c r="H890"/>
      <c r="L890"/>
      <c r="P890"/>
      <c r="T890"/>
    </row>
    <row r="891" spans="8:20" x14ac:dyDescent="0.25">
      <c r="H891"/>
      <c r="L891"/>
      <c r="P891"/>
      <c r="T891"/>
    </row>
    <row r="892" spans="8:20" x14ac:dyDescent="0.25">
      <c r="H892"/>
      <c r="L892"/>
      <c r="P892"/>
      <c r="T892"/>
    </row>
    <row r="893" spans="8:20" x14ac:dyDescent="0.25">
      <c r="H893"/>
      <c r="L893"/>
      <c r="P893"/>
      <c r="T893"/>
    </row>
    <row r="894" spans="8:20" x14ac:dyDescent="0.25">
      <c r="H894"/>
      <c r="L894"/>
      <c r="P894"/>
      <c r="T894"/>
    </row>
    <row r="895" spans="8:20" x14ac:dyDescent="0.25">
      <c r="H895"/>
      <c r="L895"/>
      <c r="P895"/>
      <c r="T895"/>
    </row>
    <row r="896" spans="8:20" x14ac:dyDescent="0.25">
      <c r="H896"/>
      <c r="L896"/>
      <c r="P896"/>
      <c r="T896"/>
    </row>
    <row r="897" spans="8:20" x14ac:dyDescent="0.25">
      <c r="H897"/>
      <c r="L897"/>
      <c r="P897"/>
      <c r="T897"/>
    </row>
    <row r="898" spans="8:20" x14ac:dyDescent="0.25">
      <c r="H898"/>
      <c r="L898"/>
      <c r="P898"/>
      <c r="T898"/>
    </row>
    <row r="899" spans="8:20" x14ac:dyDescent="0.25">
      <c r="H899"/>
      <c r="L899"/>
      <c r="P899"/>
      <c r="T899"/>
    </row>
    <row r="900" spans="8:20" x14ac:dyDescent="0.25">
      <c r="H900"/>
      <c r="L900"/>
      <c r="P900"/>
      <c r="T900"/>
    </row>
    <row r="901" spans="8:20" x14ac:dyDescent="0.25">
      <c r="H901"/>
      <c r="L901"/>
      <c r="P901"/>
      <c r="T901"/>
    </row>
    <row r="902" spans="8:20" x14ac:dyDescent="0.25">
      <c r="H902"/>
      <c r="L902"/>
      <c r="P902"/>
      <c r="T902"/>
    </row>
    <row r="903" spans="8:20" x14ac:dyDescent="0.25">
      <c r="H903"/>
      <c r="L903"/>
      <c r="P903"/>
      <c r="T903"/>
    </row>
    <row r="904" spans="8:20" x14ac:dyDescent="0.25">
      <c r="H904"/>
      <c r="L904"/>
      <c r="P904"/>
      <c r="T904"/>
    </row>
    <row r="905" spans="8:20" x14ac:dyDescent="0.25">
      <c r="H905"/>
      <c r="L905"/>
      <c r="P905"/>
      <c r="T905"/>
    </row>
    <row r="906" spans="8:20" x14ac:dyDescent="0.25">
      <c r="H906"/>
      <c r="L906"/>
      <c r="P906"/>
      <c r="T906"/>
    </row>
    <row r="907" spans="8:20" x14ac:dyDescent="0.25">
      <c r="H907"/>
      <c r="L907"/>
      <c r="P907"/>
      <c r="T907"/>
    </row>
    <row r="908" spans="8:20" x14ac:dyDescent="0.25">
      <c r="H908"/>
      <c r="L908"/>
      <c r="P908"/>
      <c r="T908"/>
    </row>
    <row r="909" spans="8:20" x14ac:dyDescent="0.25">
      <c r="H909"/>
      <c r="L909"/>
      <c r="P909"/>
      <c r="T909"/>
    </row>
    <row r="910" spans="8:20" x14ac:dyDescent="0.25">
      <c r="H910"/>
      <c r="L910"/>
      <c r="P910"/>
      <c r="T910"/>
    </row>
    <row r="911" spans="8:20" x14ac:dyDescent="0.25">
      <c r="H911"/>
      <c r="L911"/>
      <c r="P911"/>
      <c r="T911"/>
    </row>
    <row r="912" spans="8:20" x14ac:dyDescent="0.25">
      <c r="H912"/>
      <c r="L912"/>
      <c r="P912"/>
      <c r="T912"/>
    </row>
    <row r="913" spans="8:20" x14ac:dyDescent="0.25">
      <c r="H913"/>
      <c r="L913"/>
      <c r="P913"/>
      <c r="T913"/>
    </row>
    <row r="914" spans="8:20" x14ac:dyDescent="0.25">
      <c r="H914"/>
      <c r="L914"/>
      <c r="P914"/>
      <c r="T914"/>
    </row>
    <row r="915" spans="8:20" x14ac:dyDescent="0.25">
      <c r="H915"/>
      <c r="L915"/>
      <c r="P915"/>
      <c r="T915"/>
    </row>
    <row r="916" spans="8:20" x14ac:dyDescent="0.25">
      <c r="H916"/>
      <c r="L916"/>
      <c r="P916"/>
      <c r="T916"/>
    </row>
    <row r="917" spans="8:20" x14ac:dyDescent="0.25">
      <c r="H917"/>
      <c r="L917"/>
      <c r="P917"/>
      <c r="T917"/>
    </row>
    <row r="918" spans="8:20" x14ac:dyDescent="0.25">
      <c r="H918"/>
      <c r="L918"/>
      <c r="P918"/>
      <c r="T918"/>
    </row>
    <row r="919" spans="8:20" x14ac:dyDescent="0.25">
      <c r="H919"/>
      <c r="L919"/>
      <c r="P919"/>
      <c r="T919"/>
    </row>
    <row r="920" spans="8:20" x14ac:dyDescent="0.25">
      <c r="H920"/>
      <c r="L920"/>
      <c r="P920"/>
      <c r="T920"/>
    </row>
    <row r="921" spans="8:20" x14ac:dyDescent="0.25">
      <c r="H921"/>
      <c r="L921"/>
      <c r="P921"/>
      <c r="T921"/>
    </row>
    <row r="922" spans="8:20" x14ac:dyDescent="0.25">
      <c r="H922"/>
      <c r="L922"/>
      <c r="P922"/>
      <c r="T922"/>
    </row>
    <row r="923" spans="8:20" x14ac:dyDescent="0.25">
      <c r="H923"/>
      <c r="L923"/>
      <c r="P923"/>
      <c r="T923"/>
    </row>
    <row r="924" spans="8:20" x14ac:dyDescent="0.25">
      <c r="H924"/>
      <c r="L924"/>
      <c r="P924"/>
      <c r="T924"/>
    </row>
    <row r="925" spans="8:20" x14ac:dyDescent="0.25">
      <c r="H925"/>
      <c r="L925"/>
      <c r="P925"/>
      <c r="T925"/>
    </row>
    <row r="926" spans="8:20" x14ac:dyDescent="0.25">
      <c r="H926"/>
      <c r="L926"/>
      <c r="P926"/>
      <c r="T926"/>
    </row>
    <row r="927" spans="8:20" x14ac:dyDescent="0.25">
      <c r="H927"/>
      <c r="L927"/>
      <c r="P927"/>
      <c r="T927"/>
    </row>
    <row r="928" spans="8:20" x14ac:dyDescent="0.25">
      <c r="H928"/>
      <c r="L928"/>
      <c r="P928"/>
      <c r="T928"/>
    </row>
    <row r="929" spans="8:20" x14ac:dyDescent="0.25">
      <c r="H929"/>
      <c r="L929"/>
      <c r="P929"/>
      <c r="T929"/>
    </row>
    <row r="930" spans="8:20" x14ac:dyDescent="0.25">
      <c r="H930"/>
      <c r="L930"/>
      <c r="P930"/>
      <c r="T930"/>
    </row>
    <row r="931" spans="8:20" x14ac:dyDescent="0.25">
      <c r="H931"/>
      <c r="L931"/>
      <c r="P931"/>
      <c r="T931"/>
    </row>
    <row r="932" spans="8:20" x14ac:dyDescent="0.25">
      <c r="H932"/>
      <c r="L932"/>
      <c r="P932"/>
      <c r="T932"/>
    </row>
    <row r="933" spans="8:20" x14ac:dyDescent="0.25">
      <c r="H933"/>
      <c r="L933"/>
      <c r="P933"/>
      <c r="T933"/>
    </row>
    <row r="934" spans="8:20" x14ac:dyDescent="0.25">
      <c r="H934"/>
      <c r="L934"/>
      <c r="P934"/>
      <c r="T934"/>
    </row>
    <row r="935" spans="8:20" x14ac:dyDescent="0.25">
      <c r="H935"/>
      <c r="L935"/>
      <c r="P935"/>
      <c r="T935"/>
    </row>
    <row r="936" spans="8:20" x14ac:dyDescent="0.25">
      <c r="H936"/>
      <c r="L936"/>
      <c r="P936"/>
      <c r="T936"/>
    </row>
    <row r="937" spans="8:20" x14ac:dyDescent="0.25">
      <c r="H937"/>
      <c r="L937"/>
      <c r="P937"/>
      <c r="T937"/>
    </row>
    <row r="938" spans="8:20" x14ac:dyDescent="0.25">
      <c r="H938"/>
      <c r="L938"/>
      <c r="P938"/>
      <c r="T938"/>
    </row>
    <row r="939" spans="8:20" x14ac:dyDescent="0.25">
      <c r="H939"/>
      <c r="L939"/>
      <c r="P939"/>
      <c r="T939"/>
    </row>
    <row r="940" spans="8:20" x14ac:dyDescent="0.25">
      <c r="H940"/>
      <c r="L940"/>
      <c r="P940"/>
      <c r="T940"/>
    </row>
    <row r="941" spans="8:20" x14ac:dyDescent="0.25">
      <c r="H941"/>
      <c r="L941"/>
      <c r="P941"/>
      <c r="T941"/>
    </row>
    <row r="942" spans="8:20" x14ac:dyDescent="0.25">
      <c r="H942"/>
      <c r="L942"/>
      <c r="P942"/>
      <c r="T942"/>
    </row>
    <row r="943" spans="8:20" x14ac:dyDescent="0.25">
      <c r="H943"/>
      <c r="L943"/>
      <c r="P943"/>
      <c r="T943"/>
    </row>
    <row r="944" spans="8:20" x14ac:dyDescent="0.25">
      <c r="H944"/>
      <c r="L944"/>
      <c r="P944"/>
      <c r="T944"/>
    </row>
    <row r="945" spans="8:20" x14ac:dyDescent="0.25">
      <c r="H945"/>
      <c r="L945"/>
      <c r="P945"/>
      <c r="T945"/>
    </row>
    <row r="946" spans="8:20" x14ac:dyDescent="0.25">
      <c r="H946"/>
      <c r="L946"/>
      <c r="P946"/>
      <c r="T946"/>
    </row>
    <row r="947" spans="8:20" x14ac:dyDescent="0.25">
      <c r="H947"/>
      <c r="L947"/>
      <c r="P947"/>
      <c r="T947"/>
    </row>
    <row r="948" spans="8:20" x14ac:dyDescent="0.25">
      <c r="H948"/>
      <c r="L948"/>
      <c r="P948"/>
      <c r="T948"/>
    </row>
    <row r="949" spans="8:20" x14ac:dyDescent="0.25">
      <c r="H949"/>
      <c r="L949"/>
      <c r="P949"/>
      <c r="T949"/>
    </row>
    <row r="950" spans="8:20" x14ac:dyDescent="0.25">
      <c r="H950"/>
      <c r="L950"/>
      <c r="P950"/>
      <c r="T950"/>
    </row>
    <row r="951" spans="8:20" x14ac:dyDescent="0.25">
      <c r="H951"/>
      <c r="L951"/>
      <c r="P951"/>
      <c r="T951"/>
    </row>
    <row r="952" spans="8:20" x14ac:dyDescent="0.25">
      <c r="H952"/>
      <c r="L952"/>
      <c r="P952"/>
      <c r="T952"/>
    </row>
    <row r="953" spans="8:20" x14ac:dyDescent="0.25">
      <c r="H953"/>
      <c r="L953"/>
      <c r="P953"/>
      <c r="T953"/>
    </row>
    <row r="954" spans="8:20" x14ac:dyDescent="0.25">
      <c r="H954"/>
      <c r="L954"/>
      <c r="P954"/>
      <c r="T954"/>
    </row>
    <row r="955" spans="8:20" x14ac:dyDescent="0.25">
      <c r="H955"/>
      <c r="L955"/>
      <c r="P955"/>
      <c r="T955"/>
    </row>
    <row r="956" spans="8:20" x14ac:dyDescent="0.25">
      <c r="H956"/>
      <c r="L956"/>
      <c r="P956"/>
      <c r="T956"/>
    </row>
    <row r="957" spans="8:20" x14ac:dyDescent="0.25">
      <c r="H957"/>
      <c r="L957"/>
      <c r="P957"/>
      <c r="T957"/>
    </row>
    <row r="958" spans="8:20" x14ac:dyDescent="0.25">
      <c r="H958"/>
      <c r="L958"/>
      <c r="P958"/>
      <c r="T958"/>
    </row>
    <row r="959" spans="8:20" x14ac:dyDescent="0.25">
      <c r="H959"/>
      <c r="L959"/>
      <c r="P959"/>
      <c r="T959"/>
    </row>
    <row r="960" spans="8:20" x14ac:dyDescent="0.25">
      <c r="H960"/>
      <c r="L960"/>
      <c r="P960"/>
      <c r="T960"/>
    </row>
    <row r="961" spans="8:20" x14ac:dyDescent="0.25">
      <c r="H961"/>
      <c r="L961"/>
      <c r="P961"/>
      <c r="T961"/>
    </row>
    <row r="962" spans="8:20" x14ac:dyDescent="0.25">
      <c r="H962"/>
      <c r="L962"/>
      <c r="P962"/>
      <c r="T962"/>
    </row>
    <row r="963" spans="8:20" x14ac:dyDescent="0.25">
      <c r="H963"/>
      <c r="L963"/>
      <c r="P963"/>
      <c r="T963"/>
    </row>
    <row r="964" spans="8:20" x14ac:dyDescent="0.25">
      <c r="H964"/>
      <c r="L964"/>
      <c r="P964"/>
      <c r="T964"/>
    </row>
    <row r="965" spans="8:20" x14ac:dyDescent="0.25">
      <c r="H965"/>
      <c r="L965"/>
      <c r="P965"/>
      <c r="T965"/>
    </row>
    <row r="966" spans="8:20" x14ac:dyDescent="0.25">
      <c r="H966"/>
      <c r="L966"/>
      <c r="P966"/>
      <c r="T966"/>
    </row>
    <row r="967" spans="8:20" x14ac:dyDescent="0.25">
      <c r="H967"/>
      <c r="L967"/>
      <c r="P967"/>
      <c r="T967"/>
    </row>
    <row r="968" spans="8:20" x14ac:dyDescent="0.25">
      <c r="H968"/>
      <c r="L968"/>
      <c r="P968"/>
      <c r="T968"/>
    </row>
    <row r="969" spans="8:20" x14ac:dyDescent="0.25">
      <c r="H969"/>
      <c r="L969"/>
      <c r="P969"/>
      <c r="T969"/>
    </row>
    <row r="970" spans="8:20" x14ac:dyDescent="0.25">
      <c r="H970"/>
      <c r="L970"/>
      <c r="P970"/>
      <c r="T970"/>
    </row>
    <row r="971" spans="8:20" x14ac:dyDescent="0.25">
      <c r="H971"/>
      <c r="L971"/>
      <c r="P971"/>
      <c r="T971"/>
    </row>
    <row r="972" spans="8:20" x14ac:dyDescent="0.25">
      <c r="H972"/>
      <c r="L972"/>
      <c r="P972"/>
      <c r="T972"/>
    </row>
    <row r="973" spans="8:20" x14ac:dyDescent="0.25">
      <c r="H973"/>
      <c r="L973"/>
      <c r="P973"/>
      <c r="T973"/>
    </row>
    <row r="974" spans="8:20" x14ac:dyDescent="0.25">
      <c r="H974"/>
      <c r="L974"/>
      <c r="P974"/>
      <c r="T974"/>
    </row>
    <row r="975" spans="8:20" x14ac:dyDescent="0.25">
      <c r="H975"/>
      <c r="L975"/>
      <c r="P975"/>
      <c r="T975"/>
    </row>
    <row r="976" spans="8:20" x14ac:dyDescent="0.25">
      <c r="H976"/>
      <c r="L976"/>
      <c r="P976"/>
      <c r="T976"/>
    </row>
    <row r="977" spans="8:20" x14ac:dyDescent="0.25">
      <c r="H977"/>
      <c r="L977"/>
      <c r="P977"/>
      <c r="T977"/>
    </row>
    <row r="978" spans="8:20" x14ac:dyDescent="0.25">
      <c r="H978"/>
      <c r="L978"/>
      <c r="P978"/>
      <c r="T978"/>
    </row>
    <row r="979" spans="8:20" x14ac:dyDescent="0.25">
      <c r="H979"/>
      <c r="L979"/>
      <c r="P979"/>
      <c r="T979"/>
    </row>
    <row r="980" spans="8:20" x14ac:dyDescent="0.25">
      <c r="H980"/>
      <c r="L980"/>
      <c r="P980"/>
      <c r="T980"/>
    </row>
    <row r="981" spans="8:20" x14ac:dyDescent="0.25">
      <c r="H981"/>
      <c r="L981"/>
      <c r="P981"/>
      <c r="T981"/>
    </row>
    <row r="982" spans="8:20" x14ac:dyDescent="0.25">
      <c r="H982"/>
      <c r="L982"/>
      <c r="P982"/>
      <c r="T982"/>
    </row>
    <row r="983" spans="8:20" x14ac:dyDescent="0.25">
      <c r="H983"/>
      <c r="L983"/>
      <c r="P983"/>
      <c r="T983"/>
    </row>
    <row r="984" spans="8:20" x14ac:dyDescent="0.25">
      <c r="H984"/>
      <c r="L984"/>
      <c r="P984"/>
      <c r="T984"/>
    </row>
    <row r="985" spans="8:20" x14ac:dyDescent="0.25">
      <c r="H985"/>
      <c r="L985"/>
      <c r="P985"/>
      <c r="T985"/>
    </row>
    <row r="986" spans="8:20" x14ac:dyDescent="0.25">
      <c r="H986"/>
      <c r="L986"/>
      <c r="P986"/>
      <c r="T986"/>
    </row>
    <row r="987" spans="8:20" x14ac:dyDescent="0.25">
      <c r="H987"/>
      <c r="L987"/>
      <c r="P987"/>
      <c r="T987"/>
    </row>
    <row r="988" spans="8:20" x14ac:dyDescent="0.25">
      <c r="H988"/>
      <c r="L988"/>
      <c r="P988"/>
      <c r="T988"/>
    </row>
    <row r="989" spans="8:20" x14ac:dyDescent="0.25">
      <c r="H989"/>
      <c r="L989"/>
      <c r="P989"/>
      <c r="T989"/>
    </row>
    <row r="990" spans="8:20" x14ac:dyDescent="0.25">
      <c r="H990"/>
      <c r="L990"/>
      <c r="P990"/>
      <c r="T990"/>
    </row>
    <row r="991" spans="8:20" x14ac:dyDescent="0.25">
      <c r="H991"/>
      <c r="L991"/>
      <c r="P991"/>
      <c r="T991"/>
    </row>
    <row r="992" spans="8:20" x14ac:dyDescent="0.25">
      <c r="H992"/>
      <c r="L992"/>
      <c r="P992"/>
      <c r="T992"/>
    </row>
    <row r="993" spans="8:20" x14ac:dyDescent="0.25">
      <c r="H993"/>
      <c r="L993"/>
      <c r="P993"/>
      <c r="T993"/>
    </row>
    <row r="994" spans="8:20" x14ac:dyDescent="0.25">
      <c r="H994"/>
      <c r="L994"/>
      <c r="P994"/>
      <c r="T994"/>
    </row>
    <row r="995" spans="8:20" x14ac:dyDescent="0.25">
      <c r="H995"/>
      <c r="L995"/>
      <c r="P995"/>
      <c r="T995"/>
    </row>
    <row r="996" spans="8:20" x14ac:dyDescent="0.25">
      <c r="H996"/>
      <c r="L996"/>
      <c r="P996"/>
      <c r="T996"/>
    </row>
    <row r="997" spans="8:20" x14ac:dyDescent="0.25">
      <c r="H997"/>
      <c r="L997"/>
      <c r="P997"/>
      <c r="T997"/>
    </row>
    <row r="998" spans="8:20" x14ac:dyDescent="0.25">
      <c r="H998"/>
      <c r="L998"/>
      <c r="P998"/>
      <c r="T998"/>
    </row>
    <row r="999" spans="8:20" x14ac:dyDescent="0.25">
      <c r="H999"/>
      <c r="L999"/>
      <c r="P999"/>
      <c r="T999"/>
    </row>
    <row r="1000" spans="8:20" x14ac:dyDescent="0.25">
      <c r="H1000"/>
      <c r="L1000"/>
      <c r="P1000"/>
      <c r="T1000"/>
    </row>
    <row r="1001" spans="8:20" x14ac:dyDescent="0.25">
      <c r="H1001"/>
      <c r="L1001"/>
      <c r="P1001"/>
      <c r="T1001"/>
    </row>
    <row r="1002" spans="8:20" x14ac:dyDescent="0.25">
      <c r="H1002"/>
      <c r="L1002"/>
      <c r="P1002"/>
      <c r="T1002"/>
    </row>
    <row r="1003" spans="8:20" x14ac:dyDescent="0.25">
      <c r="H1003"/>
      <c r="L1003"/>
      <c r="P1003"/>
      <c r="T1003"/>
    </row>
    <row r="1004" spans="8:20" x14ac:dyDescent="0.25">
      <c r="H1004"/>
      <c r="L1004"/>
      <c r="P1004"/>
      <c r="T1004"/>
    </row>
    <row r="1005" spans="8:20" x14ac:dyDescent="0.25">
      <c r="H1005"/>
      <c r="L1005"/>
      <c r="P1005"/>
      <c r="T1005"/>
    </row>
    <row r="1006" spans="8:20" x14ac:dyDescent="0.25">
      <c r="H1006"/>
      <c r="L1006"/>
      <c r="P1006"/>
      <c r="T1006"/>
    </row>
    <row r="1007" spans="8:20" x14ac:dyDescent="0.25">
      <c r="H1007"/>
      <c r="L1007"/>
      <c r="P1007"/>
      <c r="T1007"/>
    </row>
    <row r="1008" spans="8:20" x14ac:dyDescent="0.25">
      <c r="H1008"/>
      <c r="L1008"/>
      <c r="P1008"/>
      <c r="T1008"/>
    </row>
    <row r="1009" spans="8:20" x14ac:dyDescent="0.25">
      <c r="H1009"/>
      <c r="L1009"/>
      <c r="P1009"/>
      <c r="T1009"/>
    </row>
    <row r="1010" spans="8:20" x14ac:dyDescent="0.25">
      <c r="H1010"/>
      <c r="L1010"/>
      <c r="P1010"/>
      <c r="T1010"/>
    </row>
    <row r="1011" spans="8:20" x14ac:dyDescent="0.25">
      <c r="H1011"/>
      <c r="L1011"/>
      <c r="P1011"/>
      <c r="T1011"/>
    </row>
    <row r="1012" spans="8:20" x14ac:dyDescent="0.25">
      <c r="H1012"/>
      <c r="L1012"/>
      <c r="P1012"/>
      <c r="T1012"/>
    </row>
    <row r="1013" spans="8:20" x14ac:dyDescent="0.25">
      <c r="H1013"/>
      <c r="L1013"/>
      <c r="P1013"/>
      <c r="T1013"/>
    </row>
    <row r="1014" spans="8:20" x14ac:dyDescent="0.25">
      <c r="H1014"/>
      <c r="L1014"/>
      <c r="P1014"/>
      <c r="T1014"/>
    </row>
    <row r="1015" spans="8:20" x14ac:dyDescent="0.25">
      <c r="H1015"/>
      <c r="L1015"/>
      <c r="P1015"/>
      <c r="T1015"/>
    </row>
    <row r="1016" spans="8:20" x14ac:dyDescent="0.25">
      <c r="H1016"/>
      <c r="L1016"/>
      <c r="P1016"/>
      <c r="T1016"/>
    </row>
    <row r="1017" spans="8:20" x14ac:dyDescent="0.25">
      <c r="H1017"/>
      <c r="L1017"/>
      <c r="P1017"/>
      <c r="T1017"/>
    </row>
    <row r="1018" spans="8:20" x14ac:dyDescent="0.25">
      <c r="H1018"/>
      <c r="L1018"/>
      <c r="P1018"/>
      <c r="T1018"/>
    </row>
    <row r="1019" spans="8:20" x14ac:dyDescent="0.25">
      <c r="H1019"/>
      <c r="L1019"/>
      <c r="P1019"/>
      <c r="T1019"/>
    </row>
    <row r="1020" spans="8:20" x14ac:dyDescent="0.25">
      <c r="H1020"/>
      <c r="L1020"/>
      <c r="P1020"/>
      <c r="T1020"/>
    </row>
    <row r="1021" spans="8:20" x14ac:dyDescent="0.25">
      <c r="H1021"/>
      <c r="L1021"/>
      <c r="P1021"/>
      <c r="T1021"/>
    </row>
    <row r="1022" spans="8:20" x14ac:dyDescent="0.25">
      <c r="H1022"/>
      <c r="L1022"/>
      <c r="P1022"/>
      <c r="T1022"/>
    </row>
    <row r="1023" spans="8:20" x14ac:dyDescent="0.25">
      <c r="H1023"/>
      <c r="L1023"/>
      <c r="P1023"/>
      <c r="T1023"/>
    </row>
    <row r="1024" spans="8:20" x14ac:dyDescent="0.25">
      <c r="H1024"/>
      <c r="L1024"/>
      <c r="P1024"/>
      <c r="T1024"/>
    </row>
    <row r="1025" spans="8:20" x14ac:dyDescent="0.25">
      <c r="H1025"/>
      <c r="L1025"/>
      <c r="P1025"/>
      <c r="T1025"/>
    </row>
    <row r="1026" spans="8:20" x14ac:dyDescent="0.25">
      <c r="H1026"/>
      <c r="L1026"/>
      <c r="P1026"/>
      <c r="T1026"/>
    </row>
    <row r="1027" spans="8:20" x14ac:dyDescent="0.25">
      <c r="H1027"/>
      <c r="L1027"/>
      <c r="P1027"/>
      <c r="T1027"/>
    </row>
    <row r="1028" spans="8:20" x14ac:dyDescent="0.25">
      <c r="H1028"/>
      <c r="L1028"/>
      <c r="P1028"/>
      <c r="T1028"/>
    </row>
    <row r="1029" spans="8:20" x14ac:dyDescent="0.25">
      <c r="H1029"/>
      <c r="L1029"/>
      <c r="P1029"/>
      <c r="T1029"/>
    </row>
    <row r="1030" spans="8:20" x14ac:dyDescent="0.25">
      <c r="H1030"/>
      <c r="L1030"/>
      <c r="P1030"/>
      <c r="T1030"/>
    </row>
    <row r="1031" spans="8:20" x14ac:dyDescent="0.25">
      <c r="H1031"/>
      <c r="L1031"/>
      <c r="P1031"/>
      <c r="T1031"/>
    </row>
    <row r="1032" spans="8:20" x14ac:dyDescent="0.25">
      <c r="H1032"/>
      <c r="L1032"/>
      <c r="P1032"/>
      <c r="T1032"/>
    </row>
    <row r="1033" spans="8:20" x14ac:dyDescent="0.25">
      <c r="H1033"/>
      <c r="L1033"/>
      <c r="P1033"/>
      <c r="T1033"/>
    </row>
    <row r="1034" spans="8:20" x14ac:dyDescent="0.25">
      <c r="H1034"/>
      <c r="L1034"/>
      <c r="P1034"/>
      <c r="T1034"/>
    </row>
    <row r="1035" spans="8:20" x14ac:dyDescent="0.25">
      <c r="H1035"/>
      <c r="L1035"/>
      <c r="P1035"/>
      <c r="T1035"/>
    </row>
    <row r="1036" spans="8:20" x14ac:dyDescent="0.25">
      <c r="H1036"/>
      <c r="L1036"/>
      <c r="P1036"/>
      <c r="T1036"/>
    </row>
    <row r="1037" spans="8:20" x14ac:dyDescent="0.25">
      <c r="H1037"/>
      <c r="L1037"/>
      <c r="P1037"/>
      <c r="T1037"/>
    </row>
    <row r="1038" spans="8:20" x14ac:dyDescent="0.25">
      <c r="H1038"/>
      <c r="L1038"/>
      <c r="P1038"/>
      <c r="T1038"/>
    </row>
    <row r="1039" spans="8:20" x14ac:dyDescent="0.25">
      <c r="H1039"/>
      <c r="L1039"/>
      <c r="P1039"/>
      <c r="T1039"/>
    </row>
    <row r="1040" spans="8:20" x14ac:dyDescent="0.25">
      <c r="H1040"/>
      <c r="L1040"/>
      <c r="P1040"/>
      <c r="T1040"/>
    </row>
    <row r="1041" spans="8:20" x14ac:dyDescent="0.25">
      <c r="H1041"/>
      <c r="L1041"/>
      <c r="P1041"/>
      <c r="T1041"/>
    </row>
    <row r="1042" spans="8:20" x14ac:dyDescent="0.25">
      <c r="H1042"/>
      <c r="L1042"/>
      <c r="P1042"/>
      <c r="T1042"/>
    </row>
    <row r="1043" spans="8:20" x14ac:dyDescent="0.25">
      <c r="H1043"/>
      <c r="L1043"/>
      <c r="P1043"/>
      <c r="T1043"/>
    </row>
    <row r="1044" spans="8:20" x14ac:dyDescent="0.25">
      <c r="H1044"/>
      <c r="L1044"/>
      <c r="P1044"/>
      <c r="T1044"/>
    </row>
    <row r="1045" spans="8:20" x14ac:dyDescent="0.25">
      <c r="H1045"/>
      <c r="L1045"/>
      <c r="P1045"/>
      <c r="T1045"/>
    </row>
    <row r="1046" spans="8:20" x14ac:dyDescent="0.25">
      <c r="H1046"/>
      <c r="L1046"/>
      <c r="P1046"/>
      <c r="T1046"/>
    </row>
    <row r="1047" spans="8:20" x14ac:dyDescent="0.25">
      <c r="H1047"/>
      <c r="L1047"/>
      <c r="P1047"/>
      <c r="T1047"/>
    </row>
    <row r="1048" spans="8:20" x14ac:dyDescent="0.25">
      <c r="H1048"/>
      <c r="L1048"/>
      <c r="P1048"/>
      <c r="T1048"/>
    </row>
    <row r="1049" spans="8:20" x14ac:dyDescent="0.25">
      <c r="H1049"/>
      <c r="L1049"/>
      <c r="P1049"/>
      <c r="T1049"/>
    </row>
    <row r="1050" spans="8:20" x14ac:dyDescent="0.25">
      <c r="H1050"/>
      <c r="L1050"/>
      <c r="P1050"/>
      <c r="T1050"/>
    </row>
    <row r="1051" spans="8:20" x14ac:dyDescent="0.25">
      <c r="H1051"/>
      <c r="L1051"/>
      <c r="P1051"/>
      <c r="T1051"/>
    </row>
    <row r="1052" spans="8:20" x14ac:dyDescent="0.25">
      <c r="H1052"/>
      <c r="L1052"/>
      <c r="P1052"/>
      <c r="T1052"/>
    </row>
    <row r="1053" spans="8:20" x14ac:dyDescent="0.25">
      <c r="H1053"/>
      <c r="L1053"/>
      <c r="P1053"/>
      <c r="T1053"/>
    </row>
    <row r="1054" spans="8:20" x14ac:dyDescent="0.25">
      <c r="H1054"/>
      <c r="L1054"/>
      <c r="P1054"/>
      <c r="T1054"/>
    </row>
    <row r="1055" spans="8:20" x14ac:dyDescent="0.25">
      <c r="H1055"/>
      <c r="L1055"/>
      <c r="P1055"/>
      <c r="T1055"/>
    </row>
    <row r="1056" spans="8:20" x14ac:dyDescent="0.25">
      <c r="H1056"/>
      <c r="L1056"/>
      <c r="P1056"/>
      <c r="T1056"/>
    </row>
    <row r="1057" spans="8:20" x14ac:dyDescent="0.25">
      <c r="H1057"/>
      <c r="L1057"/>
      <c r="P1057"/>
      <c r="T1057"/>
    </row>
    <row r="1058" spans="8:20" x14ac:dyDescent="0.25">
      <c r="H1058"/>
      <c r="L1058"/>
      <c r="P1058"/>
      <c r="T1058"/>
    </row>
    <row r="1059" spans="8:20" x14ac:dyDescent="0.25">
      <c r="H1059"/>
      <c r="L1059"/>
      <c r="P1059"/>
      <c r="T1059"/>
    </row>
    <row r="1060" spans="8:20" x14ac:dyDescent="0.25">
      <c r="H1060"/>
      <c r="L1060"/>
      <c r="P1060"/>
      <c r="T1060"/>
    </row>
    <row r="1061" spans="8:20" x14ac:dyDescent="0.25">
      <c r="H1061"/>
      <c r="L1061"/>
      <c r="P1061"/>
      <c r="T1061"/>
    </row>
    <row r="1062" spans="8:20" x14ac:dyDescent="0.25">
      <c r="H1062"/>
      <c r="L1062"/>
      <c r="P1062"/>
      <c r="T1062"/>
    </row>
    <row r="1063" spans="8:20" x14ac:dyDescent="0.25">
      <c r="H1063"/>
      <c r="L1063"/>
      <c r="P1063"/>
      <c r="T1063"/>
    </row>
    <row r="1064" spans="8:20" x14ac:dyDescent="0.25">
      <c r="H1064"/>
      <c r="L1064"/>
      <c r="P1064"/>
      <c r="T1064"/>
    </row>
    <row r="1065" spans="8:20" x14ac:dyDescent="0.25">
      <c r="H1065"/>
      <c r="L1065"/>
      <c r="P1065"/>
      <c r="T1065"/>
    </row>
    <row r="1066" spans="8:20" x14ac:dyDescent="0.25">
      <c r="H1066"/>
      <c r="L1066"/>
      <c r="P1066"/>
      <c r="T1066"/>
    </row>
    <row r="1067" spans="8:20" x14ac:dyDescent="0.25">
      <c r="H1067"/>
      <c r="L1067"/>
      <c r="P1067"/>
      <c r="T1067"/>
    </row>
    <row r="1068" spans="8:20" x14ac:dyDescent="0.25">
      <c r="H1068"/>
      <c r="L1068"/>
      <c r="P1068"/>
      <c r="T1068"/>
    </row>
    <row r="1069" spans="8:20" x14ac:dyDescent="0.25">
      <c r="H1069"/>
      <c r="L1069"/>
      <c r="P1069"/>
      <c r="T1069"/>
    </row>
    <row r="1070" spans="8:20" x14ac:dyDescent="0.25">
      <c r="H1070"/>
      <c r="L1070"/>
      <c r="P1070"/>
      <c r="T1070"/>
    </row>
    <row r="1071" spans="8:20" x14ac:dyDescent="0.25">
      <c r="H1071"/>
      <c r="L1071"/>
      <c r="P1071"/>
      <c r="T1071"/>
    </row>
    <row r="1072" spans="8:20" x14ac:dyDescent="0.25">
      <c r="H1072"/>
      <c r="L1072"/>
      <c r="P1072"/>
      <c r="T1072"/>
    </row>
    <row r="1073" spans="8:20" x14ac:dyDescent="0.25">
      <c r="H1073"/>
      <c r="L1073"/>
      <c r="P1073"/>
      <c r="T1073"/>
    </row>
    <row r="1074" spans="8:20" x14ac:dyDescent="0.25">
      <c r="H1074"/>
      <c r="L1074"/>
      <c r="P1074"/>
      <c r="T1074"/>
    </row>
    <row r="1075" spans="8:20" x14ac:dyDescent="0.25">
      <c r="H1075"/>
      <c r="L1075"/>
      <c r="P1075"/>
      <c r="T1075"/>
    </row>
    <row r="1076" spans="8:20" x14ac:dyDescent="0.25">
      <c r="H1076"/>
      <c r="L1076"/>
      <c r="P1076"/>
      <c r="T1076"/>
    </row>
    <row r="1077" spans="8:20" x14ac:dyDescent="0.25">
      <c r="H1077"/>
      <c r="L1077"/>
      <c r="P1077"/>
      <c r="T1077"/>
    </row>
    <row r="1078" spans="8:20" x14ac:dyDescent="0.25">
      <c r="H1078"/>
      <c r="L1078"/>
      <c r="P1078"/>
      <c r="T1078"/>
    </row>
    <row r="1079" spans="8:20" x14ac:dyDescent="0.25">
      <c r="H1079"/>
      <c r="L1079"/>
      <c r="P1079"/>
      <c r="T1079"/>
    </row>
    <row r="1080" spans="8:20" x14ac:dyDescent="0.25">
      <c r="H1080"/>
      <c r="L1080"/>
      <c r="P1080"/>
      <c r="T1080"/>
    </row>
    <row r="1081" spans="8:20" x14ac:dyDescent="0.25">
      <c r="H1081"/>
      <c r="L1081"/>
      <c r="P1081"/>
      <c r="T1081"/>
    </row>
    <row r="1082" spans="8:20" x14ac:dyDescent="0.25">
      <c r="H1082"/>
      <c r="L1082"/>
      <c r="P1082"/>
      <c r="T1082"/>
    </row>
    <row r="1083" spans="8:20" x14ac:dyDescent="0.25">
      <c r="H1083"/>
      <c r="L1083"/>
      <c r="P1083"/>
      <c r="T1083"/>
    </row>
    <row r="1084" spans="8:20" x14ac:dyDescent="0.25">
      <c r="H1084"/>
      <c r="L1084"/>
      <c r="P1084"/>
      <c r="T1084"/>
    </row>
    <row r="1085" spans="8:20" x14ac:dyDescent="0.25">
      <c r="H1085"/>
      <c r="L1085"/>
      <c r="P1085"/>
      <c r="T1085"/>
    </row>
    <row r="1086" spans="8:20" x14ac:dyDescent="0.25">
      <c r="H1086"/>
      <c r="L1086"/>
      <c r="P1086"/>
      <c r="T1086"/>
    </row>
    <row r="1087" spans="8:20" x14ac:dyDescent="0.25">
      <c r="H1087"/>
      <c r="L1087"/>
      <c r="P1087"/>
      <c r="T1087"/>
    </row>
    <row r="1088" spans="8:20" x14ac:dyDescent="0.25">
      <c r="H1088"/>
      <c r="L1088"/>
      <c r="P1088"/>
      <c r="T1088"/>
    </row>
    <row r="1089" spans="8:20" x14ac:dyDescent="0.25">
      <c r="H1089"/>
      <c r="L1089"/>
      <c r="P1089"/>
      <c r="T1089"/>
    </row>
    <row r="1090" spans="8:20" x14ac:dyDescent="0.25">
      <c r="H1090"/>
      <c r="L1090"/>
      <c r="P1090"/>
      <c r="T1090"/>
    </row>
    <row r="1091" spans="8:20" x14ac:dyDescent="0.25">
      <c r="H1091"/>
      <c r="L1091"/>
      <c r="P1091"/>
      <c r="T1091"/>
    </row>
    <row r="1092" spans="8:20" x14ac:dyDescent="0.25">
      <c r="H1092"/>
      <c r="L1092"/>
      <c r="P1092"/>
      <c r="T1092"/>
    </row>
    <row r="1093" spans="8:20" x14ac:dyDescent="0.25">
      <c r="H1093"/>
      <c r="L1093"/>
      <c r="P1093"/>
      <c r="T1093"/>
    </row>
    <row r="1094" spans="8:20" x14ac:dyDescent="0.25">
      <c r="H1094"/>
      <c r="L1094"/>
      <c r="P1094"/>
      <c r="T1094"/>
    </row>
    <row r="1095" spans="8:20" x14ac:dyDescent="0.25">
      <c r="H1095"/>
      <c r="L1095"/>
      <c r="P1095"/>
      <c r="T1095"/>
    </row>
    <row r="1096" spans="8:20" x14ac:dyDescent="0.25">
      <c r="H1096"/>
      <c r="L1096"/>
      <c r="P1096"/>
      <c r="T1096"/>
    </row>
    <row r="1097" spans="8:20" x14ac:dyDescent="0.25">
      <c r="H1097"/>
      <c r="L1097"/>
      <c r="P1097"/>
      <c r="T1097"/>
    </row>
    <row r="1098" spans="8:20" x14ac:dyDescent="0.25">
      <c r="H1098"/>
      <c r="L1098"/>
      <c r="P1098"/>
      <c r="T1098"/>
    </row>
    <row r="1099" spans="8:20" x14ac:dyDescent="0.25">
      <c r="H1099"/>
      <c r="L1099"/>
      <c r="P1099"/>
      <c r="T1099"/>
    </row>
    <row r="1100" spans="8:20" x14ac:dyDescent="0.25">
      <c r="H1100"/>
      <c r="L1100"/>
      <c r="P1100"/>
      <c r="T1100"/>
    </row>
    <row r="1101" spans="8:20" x14ac:dyDescent="0.25">
      <c r="H1101"/>
      <c r="L1101"/>
      <c r="P1101"/>
      <c r="T1101"/>
    </row>
    <row r="1102" spans="8:20" x14ac:dyDescent="0.25">
      <c r="H1102"/>
      <c r="L1102"/>
      <c r="P1102"/>
      <c r="T1102"/>
    </row>
    <row r="1103" spans="8:20" x14ac:dyDescent="0.25">
      <c r="H1103"/>
      <c r="L1103"/>
      <c r="P1103"/>
      <c r="T1103"/>
    </row>
    <row r="1104" spans="8:20" x14ac:dyDescent="0.25">
      <c r="H1104"/>
      <c r="L1104"/>
      <c r="P1104"/>
      <c r="T1104"/>
    </row>
    <row r="1105" spans="8:20" x14ac:dyDescent="0.25">
      <c r="H1105"/>
      <c r="L1105"/>
      <c r="P1105"/>
      <c r="T1105"/>
    </row>
    <row r="1106" spans="8:20" x14ac:dyDescent="0.25">
      <c r="H1106"/>
      <c r="L1106"/>
      <c r="P1106"/>
      <c r="T1106"/>
    </row>
    <row r="1107" spans="8:20" x14ac:dyDescent="0.25">
      <c r="H1107"/>
      <c r="L1107"/>
      <c r="P1107"/>
      <c r="T1107"/>
    </row>
    <row r="1108" spans="8:20" x14ac:dyDescent="0.25">
      <c r="H1108"/>
      <c r="L1108"/>
      <c r="P1108"/>
      <c r="T1108"/>
    </row>
    <row r="1109" spans="8:20" x14ac:dyDescent="0.25">
      <c r="H1109"/>
      <c r="L1109"/>
      <c r="P1109"/>
      <c r="T1109"/>
    </row>
    <row r="1110" spans="8:20" x14ac:dyDescent="0.25">
      <c r="H1110"/>
      <c r="L1110"/>
      <c r="P1110"/>
      <c r="T1110"/>
    </row>
    <row r="1111" spans="8:20" x14ac:dyDescent="0.25">
      <c r="H1111"/>
      <c r="L1111"/>
      <c r="P1111"/>
      <c r="T1111"/>
    </row>
    <row r="1112" spans="8:20" x14ac:dyDescent="0.25">
      <c r="H1112"/>
      <c r="L1112"/>
      <c r="P1112"/>
      <c r="T1112"/>
    </row>
    <row r="1113" spans="8:20" x14ac:dyDescent="0.25">
      <c r="H1113"/>
      <c r="L1113"/>
      <c r="P1113"/>
      <c r="T1113"/>
    </row>
    <row r="1114" spans="8:20" x14ac:dyDescent="0.25">
      <c r="H1114"/>
      <c r="L1114"/>
      <c r="P1114"/>
      <c r="T1114"/>
    </row>
    <row r="1115" spans="8:20" x14ac:dyDescent="0.25">
      <c r="H1115"/>
      <c r="L1115"/>
      <c r="P1115"/>
      <c r="T1115"/>
    </row>
    <row r="1116" spans="8:20" x14ac:dyDescent="0.25">
      <c r="H1116"/>
      <c r="L1116"/>
      <c r="P1116"/>
      <c r="T1116"/>
    </row>
    <row r="1117" spans="8:20" x14ac:dyDescent="0.25">
      <c r="H1117"/>
      <c r="L1117"/>
      <c r="P1117"/>
      <c r="T1117"/>
    </row>
    <row r="1118" spans="8:20" x14ac:dyDescent="0.25">
      <c r="H1118"/>
      <c r="L1118"/>
      <c r="P1118"/>
      <c r="T1118"/>
    </row>
    <row r="1119" spans="8:20" x14ac:dyDescent="0.25">
      <c r="H1119"/>
      <c r="L1119"/>
      <c r="P1119"/>
      <c r="T1119"/>
    </row>
    <row r="1120" spans="8:20" x14ac:dyDescent="0.25">
      <c r="H1120"/>
      <c r="L1120"/>
      <c r="P1120"/>
      <c r="T1120"/>
    </row>
    <row r="1121" spans="8:20" x14ac:dyDescent="0.25">
      <c r="H1121"/>
      <c r="L1121"/>
      <c r="P1121"/>
      <c r="T1121"/>
    </row>
    <row r="1122" spans="8:20" x14ac:dyDescent="0.25">
      <c r="H1122"/>
      <c r="L1122"/>
      <c r="P1122"/>
      <c r="T1122"/>
    </row>
    <row r="1123" spans="8:20" x14ac:dyDescent="0.25">
      <c r="H1123"/>
      <c r="L1123"/>
      <c r="P1123"/>
      <c r="T1123"/>
    </row>
    <row r="1124" spans="8:20" x14ac:dyDescent="0.25">
      <c r="H1124"/>
      <c r="L1124"/>
      <c r="P1124"/>
      <c r="T1124"/>
    </row>
    <row r="1125" spans="8:20" x14ac:dyDescent="0.25">
      <c r="H1125"/>
      <c r="L1125"/>
      <c r="P1125"/>
      <c r="T1125"/>
    </row>
    <row r="1126" spans="8:20" x14ac:dyDescent="0.25">
      <c r="H1126"/>
      <c r="L1126"/>
      <c r="P1126"/>
      <c r="T1126"/>
    </row>
    <row r="1127" spans="8:20" x14ac:dyDescent="0.25">
      <c r="H1127"/>
      <c r="L1127"/>
      <c r="P1127"/>
      <c r="T1127"/>
    </row>
    <row r="1128" spans="8:20" x14ac:dyDescent="0.25">
      <c r="H1128"/>
      <c r="L1128"/>
      <c r="P1128"/>
      <c r="T1128"/>
    </row>
    <row r="1129" spans="8:20" x14ac:dyDescent="0.25">
      <c r="H1129"/>
      <c r="L1129"/>
      <c r="P1129"/>
      <c r="T1129"/>
    </row>
    <row r="1130" spans="8:20" x14ac:dyDescent="0.25">
      <c r="H1130"/>
      <c r="L1130"/>
      <c r="P1130"/>
      <c r="T1130"/>
    </row>
    <row r="1131" spans="8:20" x14ac:dyDescent="0.25">
      <c r="H1131"/>
      <c r="L1131"/>
      <c r="P1131"/>
      <c r="T1131"/>
    </row>
    <row r="1132" spans="8:20" x14ac:dyDescent="0.25">
      <c r="H1132"/>
      <c r="L1132"/>
      <c r="P1132"/>
      <c r="T1132"/>
    </row>
    <row r="1133" spans="8:20" x14ac:dyDescent="0.25">
      <c r="H1133"/>
      <c r="L1133"/>
      <c r="P1133"/>
      <c r="T1133"/>
    </row>
    <row r="1134" spans="8:20" x14ac:dyDescent="0.25">
      <c r="H1134"/>
      <c r="L1134"/>
      <c r="P1134"/>
      <c r="T1134"/>
    </row>
    <row r="1135" spans="8:20" x14ac:dyDescent="0.25">
      <c r="H1135"/>
      <c r="L1135"/>
      <c r="P1135"/>
      <c r="T1135"/>
    </row>
    <row r="1136" spans="8:20" x14ac:dyDescent="0.25">
      <c r="H1136"/>
      <c r="L1136"/>
      <c r="P1136"/>
      <c r="T1136"/>
    </row>
    <row r="1137" spans="8:20" x14ac:dyDescent="0.25">
      <c r="H1137"/>
      <c r="L1137"/>
      <c r="P1137"/>
      <c r="T1137"/>
    </row>
    <row r="1138" spans="8:20" x14ac:dyDescent="0.25">
      <c r="H1138"/>
      <c r="L1138"/>
      <c r="P1138"/>
      <c r="T1138"/>
    </row>
    <row r="1139" spans="8:20" x14ac:dyDescent="0.25">
      <c r="H1139"/>
      <c r="L1139"/>
      <c r="P1139"/>
      <c r="T1139"/>
    </row>
    <row r="1140" spans="8:20" x14ac:dyDescent="0.25">
      <c r="H1140"/>
      <c r="L1140"/>
      <c r="P1140"/>
      <c r="T1140"/>
    </row>
    <row r="1141" spans="8:20" x14ac:dyDescent="0.25">
      <c r="H1141"/>
      <c r="L1141"/>
      <c r="P1141"/>
      <c r="T1141"/>
    </row>
    <row r="1142" spans="8:20" x14ac:dyDescent="0.25">
      <c r="H1142"/>
      <c r="L1142"/>
      <c r="P1142"/>
      <c r="T1142"/>
    </row>
    <row r="1143" spans="8:20" x14ac:dyDescent="0.25">
      <c r="H1143"/>
      <c r="L1143"/>
      <c r="P1143"/>
      <c r="T1143"/>
    </row>
    <row r="1144" spans="8:20" x14ac:dyDescent="0.25">
      <c r="H1144"/>
      <c r="L1144"/>
      <c r="P1144"/>
      <c r="T1144"/>
    </row>
    <row r="1145" spans="8:20" x14ac:dyDescent="0.25">
      <c r="H1145"/>
      <c r="L1145"/>
      <c r="P1145"/>
      <c r="T1145"/>
    </row>
    <row r="1146" spans="8:20" x14ac:dyDescent="0.25">
      <c r="H1146"/>
      <c r="L1146"/>
      <c r="P1146"/>
      <c r="T1146"/>
    </row>
    <row r="1147" spans="8:20" x14ac:dyDescent="0.25">
      <c r="H1147"/>
      <c r="L1147"/>
      <c r="P1147"/>
      <c r="T1147"/>
    </row>
    <row r="1148" spans="8:20" x14ac:dyDescent="0.25">
      <c r="H1148"/>
      <c r="L1148"/>
      <c r="P1148"/>
      <c r="T1148"/>
    </row>
    <row r="1149" spans="8:20" x14ac:dyDescent="0.25">
      <c r="H1149"/>
      <c r="L1149"/>
      <c r="P1149"/>
      <c r="T1149"/>
    </row>
    <row r="1150" spans="8:20" x14ac:dyDescent="0.25">
      <c r="H1150"/>
      <c r="L1150"/>
      <c r="P1150"/>
      <c r="T1150"/>
    </row>
    <row r="1151" spans="8:20" x14ac:dyDescent="0.25">
      <c r="H1151"/>
      <c r="L1151"/>
      <c r="P1151"/>
      <c r="T1151"/>
    </row>
    <row r="1152" spans="8:20" x14ac:dyDescent="0.25">
      <c r="H1152"/>
      <c r="L1152"/>
      <c r="P1152"/>
      <c r="T1152"/>
    </row>
    <row r="1153" spans="8:20" x14ac:dyDescent="0.25">
      <c r="H1153"/>
      <c r="L1153"/>
      <c r="P1153"/>
      <c r="T1153"/>
    </row>
    <row r="1154" spans="8:20" x14ac:dyDescent="0.25">
      <c r="H1154"/>
      <c r="L1154"/>
      <c r="P1154"/>
      <c r="T1154"/>
    </row>
    <row r="1155" spans="8:20" x14ac:dyDescent="0.25">
      <c r="H1155"/>
      <c r="L1155"/>
      <c r="P1155"/>
      <c r="T1155"/>
    </row>
    <row r="1156" spans="8:20" x14ac:dyDescent="0.25">
      <c r="H1156"/>
      <c r="L1156"/>
      <c r="P1156"/>
      <c r="T1156"/>
    </row>
    <row r="1157" spans="8:20" x14ac:dyDescent="0.25">
      <c r="H1157"/>
      <c r="L1157"/>
      <c r="P1157"/>
      <c r="T1157"/>
    </row>
    <row r="1158" spans="8:20" x14ac:dyDescent="0.25">
      <c r="H1158"/>
      <c r="L1158"/>
      <c r="P1158"/>
      <c r="T1158"/>
    </row>
    <row r="1159" spans="8:20" x14ac:dyDescent="0.25">
      <c r="H1159"/>
      <c r="L1159"/>
      <c r="P1159"/>
      <c r="T1159"/>
    </row>
    <row r="1160" spans="8:20" x14ac:dyDescent="0.25">
      <c r="H1160"/>
      <c r="L1160"/>
      <c r="P1160"/>
      <c r="T1160"/>
    </row>
    <row r="1161" spans="8:20" x14ac:dyDescent="0.25">
      <c r="H1161"/>
      <c r="L1161"/>
      <c r="P1161"/>
      <c r="T1161"/>
    </row>
    <row r="1162" spans="8:20" x14ac:dyDescent="0.25">
      <c r="H1162"/>
      <c r="L1162"/>
      <c r="P1162"/>
      <c r="T1162"/>
    </row>
    <row r="1163" spans="8:20" x14ac:dyDescent="0.25">
      <c r="H1163"/>
      <c r="L1163"/>
      <c r="P1163"/>
      <c r="T1163"/>
    </row>
    <row r="1164" spans="8:20" x14ac:dyDescent="0.25">
      <c r="H1164"/>
      <c r="L1164"/>
      <c r="P1164"/>
      <c r="T1164"/>
    </row>
    <row r="1165" spans="8:20" x14ac:dyDescent="0.25">
      <c r="H1165"/>
      <c r="L1165"/>
      <c r="P1165"/>
      <c r="T1165"/>
    </row>
    <row r="1166" spans="8:20" x14ac:dyDescent="0.25">
      <c r="H1166"/>
      <c r="L1166"/>
      <c r="P1166"/>
      <c r="T1166"/>
    </row>
    <row r="1167" spans="8:20" x14ac:dyDescent="0.25">
      <c r="H1167"/>
      <c r="L1167"/>
      <c r="P1167"/>
      <c r="T1167"/>
    </row>
    <row r="1168" spans="8:20" x14ac:dyDescent="0.25">
      <c r="H1168"/>
      <c r="L1168"/>
      <c r="P1168"/>
      <c r="T1168"/>
    </row>
    <row r="1169" spans="8:20" x14ac:dyDescent="0.25">
      <c r="H1169"/>
      <c r="L1169"/>
      <c r="P1169"/>
      <c r="T1169"/>
    </row>
    <row r="1170" spans="8:20" x14ac:dyDescent="0.25">
      <c r="H1170"/>
      <c r="L1170"/>
      <c r="P1170"/>
      <c r="T1170"/>
    </row>
    <row r="1171" spans="8:20" x14ac:dyDescent="0.25">
      <c r="H1171"/>
      <c r="L1171"/>
      <c r="P1171"/>
      <c r="T1171"/>
    </row>
    <row r="1172" spans="8:20" x14ac:dyDescent="0.25">
      <c r="H1172"/>
      <c r="L1172"/>
      <c r="P1172"/>
      <c r="T1172"/>
    </row>
    <row r="1173" spans="8:20" x14ac:dyDescent="0.25">
      <c r="H1173"/>
      <c r="L1173"/>
      <c r="P1173"/>
      <c r="T1173"/>
    </row>
    <row r="1174" spans="8:20" x14ac:dyDescent="0.25">
      <c r="H1174"/>
      <c r="L1174"/>
      <c r="P1174"/>
      <c r="T1174"/>
    </row>
    <row r="1175" spans="8:20" x14ac:dyDescent="0.25">
      <c r="H1175"/>
      <c r="L1175"/>
      <c r="P1175"/>
      <c r="T1175"/>
    </row>
    <row r="1176" spans="8:20" x14ac:dyDescent="0.25">
      <c r="H1176"/>
      <c r="L1176"/>
      <c r="P1176"/>
      <c r="T1176"/>
    </row>
    <row r="1177" spans="8:20" x14ac:dyDescent="0.25">
      <c r="H1177"/>
      <c r="L1177"/>
      <c r="P1177"/>
      <c r="T1177"/>
    </row>
    <row r="1178" spans="8:20" x14ac:dyDescent="0.25">
      <c r="H1178"/>
      <c r="L1178"/>
      <c r="P1178"/>
      <c r="T1178"/>
    </row>
    <row r="1179" spans="8:20" x14ac:dyDescent="0.25">
      <c r="H1179"/>
      <c r="L1179"/>
      <c r="P1179"/>
      <c r="T1179"/>
    </row>
    <row r="1180" spans="8:20" x14ac:dyDescent="0.25">
      <c r="H1180"/>
      <c r="L1180"/>
      <c r="P1180"/>
      <c r="T1180"/>
    </row>
    <row r="1181" spans="8:20" x14ac:dyDescent="0.25">
      <c r="H1181"/>
      <c r="L1181"/>
      <c r="P1181"/>
      <c r="T1181"/>
    </row>
    <row r="1182" spans="8:20" x14ac:dyDescent="0.25">
      <c r="H1182"/>
      <c r="L1182"/>
      <c r="P1182"/>
      <c r="T1182"/>
    </row>
    <row r="1183" spans="8:20" x14ac:dyDescent="0.25">
      <c r="H1183"/>
      <c r="L1183"/>
      <c r="P1183"/>
      <c r="T1183"/>
    </row>
    <row r="1184" spans="8:20" x14ac:dyDescent="0.25">
      <c r="H1184"/>
      <c r="L1184"/>
      <c r="P1184"/>
      <c r="T1184"/>
    </row>
    <row r="1185" spans="8:20" x14ac:dyDescent="0.25">
      <c r="H1185"/>
      <c r="L1185"/>
      <c r="P1185"/>
      <c r="T1185"/>
    </row>
    <row r="1186" spans="8:20" x14ac:dyDescent="0.25">
      <c r="H1186"/>
      <c r="L1186"/>
      <c r="P1186"/>
      <c r="T1186"/>
    </row>
    <row r="1187" spans="8:20" x14ac:dyDescent="0.25">
      <c r="H1187"/>
      <c r="L1187"/>
      <c r="P1187"/>
      <c r="T1187"/>
    </row>
    <row r="1188" spans="8:20" x14ac:dyDescent="0.25">
      <c r="H1188"/>
      <c r="L1188"/>
      <c r="P1188"/>
      <c r="T1188"/>
    </row>
    <row r="1189" spans="8:20" x14ac:dyDescent="0.25">
      <c r="H1189"/>
      <c r="L1189"/>
      <c r="P1189"/>
      <c r="T1189"/>
    </row>
    <row r="1190" spans="8:20" x14ac:dyDescent="0.25">
      <c r="H1190"/>
      <c r="L1190"/>
      <c r="P1190"/>
      <c r="T1190"/>
    </row>
    <row r="1191" spans="8:20" x14ac:dyDescent="0.25">
      <c r="H1191"/>
      <c r="L1191"/>
      <c r="P1191"/>
      <c r="T1191"/>
    </row>
    <row r="1192" spans="8:20" x14ac:dyDescent="0.25">
      <c r="H1192"/>
      <c r="L1192"/>
      <c r="P1192"/>
      <c r="T1192"/>
    </row>
    <row r="1193" spans="8:20" x14ac:dyDescent="0.25">
      <c r="H1193"/>
      <c r="L1193"/>
      <c r="P1193"/>
      <c r="T1193"/>
    </row>
    <row r="1194" spans="8:20" x14ac:dyDescent="0.25">
      <c r="H1194"/>
      <c r="L1194"/>
      <c r="P1194"/>
      <c r="T1194"/>
    </row>
    <row r="1195" spans="8:20" x14ac:dyDescent="0.25">
      <c r="H1195"/>
      <c r="L1195"/>
      <c r="P1195"/>
      <c r="T1195"/>
    </row>
    <row r="1196" spans="8:20" x14ac:dyDescent="0.25">
      <c r="H1196"/>
      <c r="L1196"/>
      <c r="P1196"/>
      <c r="T1196"/>
    </row>
    <row r="1197" spans="8:20" x14ac:dyDescent="0.25">
      <c r="H1197"/>
      <c r="L1197"/>
      <c r="P1197"/>
      <c r="T1197"/>
    </row>
    <row r="1198" spans="8:20" x14ac:dyDescent="0.25">
      <c r="H1198"/>
      <c r="L1198"/>
      <c r="P1198"/>
      <c r="T1198"/>
    </row>
    <row r="1199" spans="8:20" x14ac:dyDescent="0.25">
      <c r="H1199"/>
      <c r="L1199"/>
      <c r="P1199"/>
      <c r="T1199"/>
    </row>
    <row r="1200" spans="8:20" x14ac:dyDescent="0.25">
      <c r="H1200"/>
      <c r="L1200"/>
      <c r="P1200"/>
      <c r="T1200"/>
    </row>
    <row r="1201" spans="8:20" x14ac:dyDescent="0.25">
      <c r="H1201"/>
      <c r="L1201"/>
      <c r="P1201"/>
      <c r="T1201"/>
    </row>
    <row r="1202" spans="8:20" x14ac:dyDescent="0.25">
      <c r="H1202"/>
      <c r="L1202"/>
      <c r="P1202"/>
      <c r="T1202"/>
    </row>
    <row r="1203" spans="8:20" x14ac:dyDescent="0.25">
      <c r="H1203"/>
      <c r="L1203"/>
      <c r="P1203"/>
      <c r="T1203"/>
    </row>
    <row r="1204" spans="8:20" x14ac:dyDescent="0.25">
      <c r="H1204"/>
      <c r="L1204"/>
      <c r="P1204"/>
      <c r="T1204"/>
    </row>
    <row r="1205" spans="8:20" x14ac:dyDescent="0.25">
      <c r="H1205"/>
      <c r="L1205"/>
      <c r="P1205"/>
      <c r="T1205"/>
    </row>
    <row r="1206" spans="8:20" x14ac:dyDescent="0.25">
      <c r="H1206"/>
      <c r="L1206"/>
      <c r="P1206"/>
      <c r="T1206"/>
    </row>
    <row r="1207" spans="8:20" x14ac:dyDescent="0.25">
      <c r="H1207"/>
      <c r="L1207"/>
      <c r="P1207"/>
      <c r="T1207"/>
    </row>
    <row r="1208" spans="8:20" x14ac:dyDescent="0.25">
      <c r="H1208"/>
      <c r="L1208"/>
      <c r="P1208"/>
      <c r="T1208"/>
    </row>
    <row r="1209" spans="8:20" x14ac:dyDescent="0.25">
      <c r="H1209"/>
      <c r="L1209"/>
      <c r="P1209"/>
      <c r="T1209"/>
    </row>
    <row r="1210" spans="8:20" x14ac:dyDescent="0.25">
      <c r="H1210"/>
      <c r="L1210"/>
      <c r="P1210"/>
      <c r="T1210"/>
    </row>
    <row r="1211" spans="8:20" x14ac:dyDescent="0.25">
      <c r="H1211"/>
      <c r="L1211"/>
      <c r="P1211"/>
      <c r="T1211"/>
    </row>
    <row r="1212" spans="8:20" x14ac:dyDescent="0.25">
      <c r="H1212"/>
      <c r="L1212"/>
      <c r="P1212"/>
      <c r="T1212"/>
    </row>
    <row r="1213" spans="8:20" x14ac:dyDescent="0.25">
      <c r="H1213"/>
      <c r="L1213"/>
      <c r="P1213"/>
      <c r="T1213"/>
    </row>
    <row r="1214" spans="8:20" x14ac:dyDescent="0.25">
      <c r="H1214"/>
      <c r="L1214"/>
      <c r="P1214"/>
      <c r="T1214"/>
    </row>
    <row r="1215" spans="8:20" x14ac:dyDescent="0.25">
      <c r="H1215"/>
      <c r="L1215"/>
      <c r="P1215"/>
      <c r="T1215"/>
    </row>
    <row r="1216" spans="8:20" x14ac:dyDescent="0.25">
      <c r="H1216"/>
      <c r="L1216"/>
      <c r="P1216"/>
      <c r="T1216"/>
    </row>
    <row r="1217" spans="8:20" x14ac:dyDescent="0.25">
      <c r="H1217"/>
      <c r="L1217"/>
      <c r="P1217"/>
      <c r="T1217"/>
    </row>
    <row r="1218" spans="8:20" x14ac:dyDescent="0.25">
      <c r="H1218"/>
      <c r="L1218"/>
      <c r="P1218"/>
      <c r="T1218"/>
    </row>
    <row r="1219" spans="8:20" x14ac:dyDescent="0.25">
      <c r="H1219"/>
      <c r="L1219"/>
      <c r="P1219"/>
      <c r="T1219"/>
    </row>
    <row r="1220" spans="8:20" x14ac:dyDescent="0.25">
      <c r="H1220"/>
      <c r="L1220"/>
      <c r="P1220"/>
      <c r="T1220"/>
    </row>
    <row r="1221" spans="8:20" x14ac:dyDescent="0.25">
      <c r="H1221"/>
      <c r="L1221"/>
      <c r="P1221"/>
      <c r="T1221"/>
    </row>
    <row r="1222" spans="8:20" x14ac:dyDescent="0.25">
      <c r="H1222"/>
      <c r="L1222"/>
      <c r="P1222"/>
      <c r="T1222"/>
    </row>
    <row r="1223" spans="8:20" x14ac:dyDescent="0.25">
      <c r="H1223"/>
      <c r="L1223"/>
      <c r="P1223"/>
      <c r="T1223"/>
    </row>
    <row r="1224" spans="8:20" x14ac:dyDescent="0.25">
      <c r="H1224"/>
      <c r="L1224"/>
      <c r="P1224"/>
      <c r="T1224"/>
    </row>
    <row r="1225" spans="8:20" x14ac:dyDescent="0.25">
      <c r="H1225"/>
      <c r="L1225"/>
      <c r="P1225"/>
      <c r="T1225"/>
    </row>
    <row r="1226" spans="8:20" x14ac:dyDescent="0.25">
      <c r="H1226"/>
      <c r="L1226"/>
      <c r="P1226"/>
      <c r="T1226"/>
    </row>
    <row r="1227" spans="8:20" x14ac:dyDescent="0.25">
      <c r="H1227"/>
      <c r="L1227"/>
      <c r="P1227"/>
      <c r="T1227"/>
    </row>
    <row r="1228" spans="8:20" x14ac:dyDescent="0.25">
      <c r="H1228"/>
      <c r="L1228"/>
      <c r="P1228"/>
      <c r="T1228"/>
    </row>
    <row r="1229" spans="8:20" x14ac:dyDescent="0.25">
      <c r="H1229"/>
      <c r="L1229"/>
      <c r="P1229"/>
      <c r="T1229"/>
    </row>
    <row r="1230" spans="8:20" x14ac:dyDescent="0.25">
      <c r="H1230"/>
      <c r="L1230"/>
      <c r="P1230"/>
      <c r="T1230"/>
    </row>
    <row r="1231" spans="8:20" x14ac:dyDescent="0.25">
      <c r="H1231"/>
      <c r="L1231"/>
      <c r="P1231"/>
      <c r="T1231"/>
    </row>
    <row r="1232" spans="8:20" x14ac:dyDescent="0.25">
      <c r="H1232"/>
      <c r="L1232"/>
      <c r="P1232"/>
      <c r="T1232"/>
    </row>
    <row r="1233" spans="8:20" x14ac:dyDescent="0.25">
      <c r="H1233"/>
      <c r="L1233"/>
      <c r="P1233"/>
      <c r="T1233"/>
    </row>
    <row r="1234" spans="8:20" x14ac:dyDescent="0.25">
      <c r="H1234"/>
      <c r="L1234"/>
      <c r="P1234"/>
      <c r="T1234"/>
    </row>
    <row r="1235" spans="8:20" x14ac:dyDescent="0.25">
      <c r="H1235"/>
      <c r="L1235"/>
      <c r="P1235"/>
      <c r="T1235"/>
    </row>
    <row r="1236" spans="8:20" x14ac:dyDescent="0.25">
      <c r="H1236"/>
      <c r="L1236"/>
      <c r="P1236"/>
      <c r="T1236"/>
    </row>
    <row r="1237" spans="8:20" x14ac:dyDescent="0.25">
      <c r="H1237"/>
      <c r="L1237"/>
      <c r="P1237"/>
      <c r="T1237"/>
    </row>
    <row r="1238" spans="8:20" x14ac:dyDescent="0.25">
      <c r="H1238"/>
      <c r="L1238"/>
      <c r="P1238"/>
      <c r="T1238"/>
    </row>
    <row r="1239" spans="8:20" x14ac:dyDescent="0.25">
      <c r="H1239"/>
      <c r="L1239"/>
      <c r="P1239"/>
      <c r="T1239"/>
    </row>
    <row r="1240" spans="8:20" x14ac:dyDescent="0.25">
      <c r="H1240"/>
      <c r="L1240"/>
      <c r="P1240"/>
      <c r="T1240"/>
    </row>
    <row r="1241" spans="8:20" x14ac:dyDescent="0.25">
      <c r="H1241"/>
      <c r="L1241"/>
      <c r="P1241"/>
      <c r="T1241"/>
    </row>
    <row r="1242" spans="8:20" x14ac:dyDescent="0.25">
      <c r="H1242"/>
      <c r="L1242"/>
      <c r="P1242"/>
      <c r="T1242"/>
    </row>
    <row r="1243" spans="8:20" x14ac:dyDescent="0.25">
      <c r="H1243"/>
      <c r="L1243"/>
      <c r="P1243"/>
      <c r="T1243"/>
    </row>
    <row r="1244" spans="8:20" x14ac:dyDescent="0.25">
      <c r="H1244"/>
      <c r="L1244"/>
      <c r="P1244"/>
      <c r="T1244"/>
    </row>
    <row r="1245" spans="8:20" x14ac:dyDescent="0.25">
      <c r="H1245"/>
      <c r="L1245"/>
      <c r="P1245"/>
      <c r="T1245"/>
    </row>
    <row r="1246" spans="8:20" x14ac:dyDescent="0.25">
      <c r="H1246"/>
      <c r="L1246"/>
      <c r="P1246"/>
      <c r="T1246"/>
    </row>
    <row r="1247" spans="8:20" x14ac:dyDescent="0.25">
      <c r="H1247"/>
      <c r="L1247"/>
      <c r="P1247"/>
      <c r="T1247"/>
    </row>
    <row r="1248" spans="8:20" x14ac:dyDescent="0.25">
      <c r="H1248"/>
      <c r="L1248"/>
      <c r="P1248"/>
      <c r="T1248"/>
    </row>
    <row r="1249" spans="8:20" x14ac:dyDescent="0.25">
      <c r="H1249"/>
      <c r="L1249"/>
      <c r="P1249"/>
      <c r="T1249"/>
    </row>
    <row r="1250" spans="8:20" x14ac:dyDescent="0.25">
      <c r="H1250"/>
      <c r="L1250"/>
      <c r="P1250"/>
      <c r="T1250"/>
    </row>
    <row r="1251" spans="8:20" x14ac:dyDescent="0.25">
      <c r="H1251"/>
      <c r="L1251"/>
      <c r="P1251"/>
      <c r="T1251"/>
    </row>
    <row r="1252" spans="8:20" x14ac:dyDescent="0.25">
      <c r="H1252"/>
      <c r="L1252"/>
      <c r="P1252"/>
      <c r="T1252"/>
    </row>
    <row r="1253" spans="8:20" x14ac:dyDescent="0.25">
      <c r="H1253"/>
      <c r="L1253"/>
      <c r="P1253"/>
      <c r="T1253"/>
    </row>
    <row r="1254" spans="8:20" x14ac:dyDescent="0.25">
      <c r="H1254"/>
      <c r="L1254"/>
      <c r="P1254"/>
      <c r="T1254"/>
    </row>
    <row r="1255" spans="8:20" x14ac:dyDescent="0.25">
      <c r="L1255"/>
      <c r="P1255"/>
      <c r="T1255"/>
    </row>
    <row r="1256" spans="8:20" x14ac:dyDescent="0.25">
      <c r="L1256"/>
      <c r="P1256"/>
      <c r="T1256"/>
    </row>
    <row r="1257" spans="8:20" x14ac:dyDescent="0.25">
      <c r="L1257"/>
      <c r="P1257"/>
      <c r="T1257"/>
    </row>
    <row r="1258" spans="8:20" x14ac:dyDescent="0.25">
      <c r="L1258"/>
      <c r="P1258"/>
      <c r="T1258"/>
    </row>
    <row r="1259" spans="8:20" x14ac:dyDescent="0.25">
      <c r="L1259"/>
      <c r="P1259"/>
      <c r="T125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WAIS-IV AutomaticTable</dc:title>
  <dc:creator>Giovanni Santangelo, MAOB, PhD.</dc:creator>
  <cp:keywords>Assessment Instrument;WAIS-IV</cp:keywords>
  <cp:lastModifiedBy>Giovanni Santangelo</cp:lastModifiedBy>
  <dcterms:created xsi:type="dcterms:W3CDTF">2024-11-23T05:13:09Z</dcterms:created>
  <dcterms:modified xsi:type="dcterms:W3CDTF">2025-01-13T11:07:19Z</dcterms:modified>
</cp:coreProperties>
</file>